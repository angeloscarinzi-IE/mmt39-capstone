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unonoguespraxismmt/Documents/1 Proyectos/1 IEBS/1 IE/DD/"/>
    </mc:Choice>
  </mc:AlternateContent>
  <xr:revisionPtr revIDLastSave="0" documentId="13_ncr:1_{A5BFBC9A-98E2-9C4A-AED8-99E075E29F27}" xr6:coauthVersionLast="47" xr6:coauthVersionMax="47" xr10:uidLastSave="{00000000-0000-0000-0000-000000000000}"/>
  <bookViews>
    <workbookView xWindow="0" yWindow="580" windowWidth="25600" windowHeight="14260" tabRatio="6" xr2:uid="{00000000-000D-0000-FFFF-FFFF00000000}"/>
  </bookViews>
  <sheets>
    <sheet name="MMT39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8" i="9" l="1"/>
  <c r="G128" i="9"/>
  <c r="E128" i="9"/>
  <c r="J127" i="9"/>
  <c r="H127" i="9"/>
  <c r="F127" i="9"/>
  <c r="J126" i="9"/>
  <c r="H126" i="9"/>
  <c r="F126" i="9"/>
  <c r="J125" i="9"/>
  <c r="H125" i="9"/>
  <c r="F125" i="9"/>
  <c r="J124" i="9"/>
  <c r="H124" i="9"/>
  <c r="F124" i="9"/>
  <c r="J123" i="9"/>
  <c r="H123" i="9"/>
  <c r="F123" i="9"/>
  <c r="I107" i="9"/>
  <c r="G107" i="9"/>
  <c r="E107" i="9"/>
  <c r="J106" i="9"/>
  <c r="H106" i="9"/>
  <c r="F106" i="9"/>
  <c r="J105" i="9"/>
  <c r="H105" i="9"/>
  <c r="F105" i="9"/>
  <c r="J104" i="9"/>
  <c r="H104" i="9"/>
  <c r="F104" i="9"/>
  <c r="J103" i="9"/>
  <c r="H103" i="9"/>
  <c r="F103" i="9"/>
  <c r="J102" i="9"/>
  <c r="H102" i="9"/>
  <c r="F102" i="9"/>
  <c r="J128" i="9" l="1"/>
  <c r="H128" i="9"/>
  <c r="F128" i="9"/>
  <c r="J107" i="9"/>
  <c r="H107" i="9"/>
  <c r="F107" i="9"/>
  <c r="I344" i="9" l="1"/>
  <c r="I338" i="9"/>
  <c r="I336" i="9"/>
  <c r="H338" i="9"/>
  <c r="I329" i="9"/>
  <c r="I323" i="9"/>
  <c r="I260" i="9"/>
  <c r="G220" i="9"/>
  <c r="F220" i="9"/>
  <c r="H205" i="9"/>
  <c r="G205" i="9"/>
  <c r="F205" i="9"/>
  <c r="E205" i="9"/>
  <c r="H188" i="9"/>
  <c r="G188" i="9"/>
  <c r="F188" i="9"/>
  <c r="E188" i="9"/>
  <c r="E150" i="9"/>
  <c r="F135" i="9"/>
  <c r="F134" i="9"/>
  <c r="I339" i="9" l="1"/>
  <c r="H336" i="9"/>
  <c r="H339" i="9" s="1"/>
  <c r="I330" i="9"/>
  <c r="I246" i="9"/>
  <c r="I269" i="9"/>
  <c r="I270" i="9" s="1"/>
  <c r="H190" i="9"/>
  <c r="F221" i="9" s="1"/>
  <c r="H207" i="9"/>
  <c r="G221" i="9" s="1"/>
  <c r="I255" i="9" l="1"/>
  <c r="I256" i="9" s="1"/>
  <c r="I301" i="9"/>
  <c r="H209" i="9"/>
  <c r="H192" i="9"/>
  <c r="I287" i="9"/>
  <c r="H329" i="9"/>
  <c r="I288" i="9" l="1"/>
  <c r="I306" i="9" s="1"/>
  <c r="H343" i="9" s="1"/>
  <c r="H344" i="9" s="1"/>
  <c r="H313" i="9" l="1"/>
  <c r="H323" i="9" s="1"/>
  <c r="H330" i="9" s="1"/>
</calcChain>
</file>

<file path=xl/sharedStrings.xml><?xml version="1.0" encoding="utf-8"?>
<sst xmlns="http://schemas.openxmlformats.org/spreadsheetml/2006/main" count="377" uniqueCount="261">
  <si>
    <t>A (€)</t>
  </si>
  <si>
    <t>AS</t>
  </si>
  <si>
    <t>AT</t>
  </si>
  <si>
    <t>AG</t>
  </si>
  <si>
    <t>Total</t>
  </si>
  <si>
    <t>YG</t>
  </si>
  <si>
    <t>B (€)</t>
  </si>
  <si>
    <t>BS</t>
  </si>
  <si>
    <t>BT</t>
  </si>
  <si>
    <t>BG</t>
  </si>
  <si>
    <t>No / No</t>
  </si>
  <si>
    <t>Radio (RA)</t>
  </si>
  <si>
    <t>Total SMED</t>
  </si>
  <si>
    <t>A</t>
  </si>
  <si>
    <t>B</t>
  </si>
  <si>
    <t>No</t>
  </si>
  <si>
    <t>Cells with a white background color are to be used to enter values.</t>
  </si>
  <si>
    <t>INFORMATION</t>
  </si>
  <si>
    <t>Market</t>
  </si>
  <si>
    <t>Income</t>
  </si>
  <si>
    <t>Exchange rate (euros per 1 dollar):</t>
  </si>
  <si>
    <t>Unemployment rate (%)</t>
  </si>
  <si>
    <t>Financial variables</t>
  </si>
  <si>
    <t>Overdraft interest rate (%)</t>
  </si>
  <si>
    <t>Loans</t>
  </si>
  <si>
    <t>Maturity (years)</t>
  </si>
  <si>
    <t>Interest rate (%)</t>
  </si>
  <si>
    <t>Upfront fee (%)</t>
  </si>
  <si>
    <t>Prepayment penalty (%)</t>
  </si>
  <si>
    <t>Service fee (%)</t>
  </si>
  <si>
    <t>Financial investments</t>
  </si>
  <si>
    <t>Early withdrawal penalty (%)</t>
  </si>
  <si>
    <t>Fixed-term deposits</t>
  </si>
  <si>
    <t>Lines of credit</t>
  </si>
  <si>
    <t>Factoring rate (%)</t>
  </si>
  <si>
    <t>Investment in securities (quotes in €)*</t>
  </si>
  <si>
    <t>Security 1</t>
  </si>
  <si>
    <t>Security 2</t>
  </si>
  <si>
    <t>Security 3</t>
  </si>
  <si>
    <t>* This feature must be activated by the simulation Director.</t>
  </si>
  <si>
    <t>Product</t>
  </si>
  <si>
    <t>Cost (€)</t>
  </si>
  <si>
    <t xml:space="preserve">Per capita income	</t>
  </si>
  <si>
    <t>Unit cost of raw material</t>
  </si>
  <si>
    <t>Power cost per unit produced</t>
  </si>
  <si>
    <t>Market A</t>
  </si>
  <si>
    <t>Market B</t>
  </si>
  <si>
    <t>LOGISTICS</t>
  </si>
  <si>
    <t>Number of platforms</t>
  </si>
  <si>
    <t>Transport to plataforms</t>
  </si>
  <si>
    <t>Transport to retailers</t>
  </si>
  <si>
    <t>Load capacity (kg)</t>
  </si>
  <si>
    <t>Number of vehicles</t>
  </si>
  <si>
    <t>HUMAN RESOURCES</t>
  </si>
  <si>
    <t>Fixed salary A (€)</t>
  </si>
  <si>
    <t>Variable salary A (%)</t>
  </si>
  <si>
    <t>Fixed salary B (€)</t>
  </si>
  <si>
    <t>Variable salary B (%)</t>
  </si>
  <si>
    <t>Office and management staff payroll</t>
  </si>
  <si>
    <t>Level I</t>
  </si>
  <si>
    <t>Level II</t>
  </si>
  <si>
    <t>Level III</t>
  </si>
  <si>
    <t>Level IV</t>
  </si>
  <si>
    <t>Operator</t>
  </si>
  <si>
    <t>Specialist</t>
  </si>
  <si>
    <t>Recruitment and training department</t>
  </si>
  <si>
    <t>MARKET RESEARCH</t>
  </si>
  <si>
    <t>Market research budget (€)</t>
  </si>
  <si>
    <t>Channel</t>
  </si>
  <si>
    <t>MRSP (€)</t>
  </si>
  <si>
    <t>Retailer margin (€)</t>
  </si>
  <si>
    <t>Shelf space (%)</t>
  </si>
  <si>
    <t>Number of promotions</t>
  </si>
  <si>
    <t>Type of promotion</t>
  </si>
  <si>
    <t>POP Advertising (€)</t>
  </si>
  <si>
    <t>Advertising Market A</t>
  </si>
  <si>
    <t>Advertising Market B</t>
  </si>
  <si>
    <t>Advertising campaign</t>
  </si>
  <si>
    <t>Vehicle</t>
  </si>
  <si>
    <t>Number of ads</t>
  </si>
  <si>
    <t>Budget (€)</t>
  </si>
  <si>
    <t>Budget ($)</t>
  </si>
  <si>
    <t>Display network and Remarketing (DR)</t>
  </si>
  <si>
    <t>Press (PR)</t>
  </si>
  <si>
    <t>Social media (SM)</t>
  </si>
  <si>
    <t>Television (TV)</t>
  </si>
  <si>
    <t>Detail (€)</t>
  </si>
  <si>
    <t>PRODUCTION</t>
  </si>
  <si>
    <t>Production lines</t>
  </si>
  <si>
    <t>Lines to install this year</t>
  </si>
  <si>
    <t>Lines to be activated</t>
  </si>
  <si>
    <t>Total lines</t>
  </si>
  <si>
    <t>Number of production shifts</t>
  </si>
  <si>
    <t>Preventive maintenance department</t>
  </si>
  <si>
    <t>Installation of PY quality control system</t>
  </si>
  <si>
    <t>Supply management</t>
  </si>
  <si>
    <t>Inventory of raw material</t>
  </si>
  <si>
    <t>Inventory of finished goods</t>
  </si>
  <si>
    <t>Raw materials to be purchased</t>
  </si>
  <si>
    <t>* SMED cannot be acquired in year 1.</t>
  </si>
  <si>
    <t>SMED systems*</t>
  </si>
  <si>
    <t>SMED previous years</t>
  </si>
  <si>
    <t>SMED to be acquired</t>
  </si>
  <si>
    <t>SMED to be activated</t>
  </si>
  <si>
    <t>Teams assigned to  SMED</t>
  </si>
  <si>
    <t>FINANCE</t>
  </si>
  <si>
    <t>Loan requested (€)</t>
  </si>
  <si>
    <t>Loan prepayment(€)</t>
  </si>
  <si>
    <t>Financial investments (€)</t>
  </si>
  <si>
    <t>Fixed-term deposits (€)</t>
  </si>
  <si>
    <t>Credit line (€)</t>
  </si>
  <si>
    <t>Customer collection terms (days)</t>
  </si>
  <si>
    <t>Factoring</t>
  </si>
  <si>
    <t>Maximum amount to be discounted (€)</t>
  </si>
  <si>
    <t>Investment in securities</t>
  </si>
  <si>
    <t>Security</t>
  </si>
  <si>
    <t>Sell*</t>
  </si>
  <si>
    <t>Investment (€)</t>
  </si>
  <si>
    <t>* In year 1 securities cannot be sold.</t>
  </si>
  <si>
    <t>Normal Units Sold</t>
  </si>
  <si>
    <t>Units Sold on Promotion</t>
  </si>
  <si>
    <t>Total units sold</t>
  </si>
  <si>
    <t>Units demanded of your brand</t>
  </si>
  <si>
    <t>Units of finished goods in inventory</t>
  </si>
  <si>
    <t>PRODUCTION FORECAST</t>
  </si>
  <si>
    <t>Standard cost per unit of raw material</t>
  </si>
  <si>
    <t>Standard cost per unit of finished product</t>
  </si>
  <si>
    <t>Beginning of year inventory of raw material (units)</t>
  </si>
  <si>
    <t>Beginning of year inventory of finished goods (units)</t>
  </si>
  <si>
    <t>Units produced</t>
  </si>
  <si>
    <t>Units of raw material used</t>
  </si>
  <si>
    <t>End of year inventory of raw material (units)</t>
  </si>
  <si>
    <t>End of year inventory of finished goods (units)</t>
  </si>
  <si>
    <t>LOGISTICS FORECAST</t>
  </si>
  <si>
    <t>Logistic stock-out</t>
  </si>
  <si>
    <t>Factory-platforms / Platforms-retailers</t>
  </si>
  <si>
    <t>Transport unit cost</t>
  </si>
  <si>
    <t>A  (€)</t>
  </si>
  <si>
    <t>Factory to platforms transport cost</t>
  </si>
  <si>
    <t>Warehouse cost</t>
  </si>
  <si>
    <t>Platforms to retailers transport cost</t>
  </si>
  <si>
    <t>HUMAN RESOURCES FORECAST</t>
  </si>
  <si>
    <t>Workforce turnover</t>
  </si>
  <si>
    <t>Office and management staff</t>
  </si>
  <si>
    <t>Sales force</t>
  </si>
  <si>
    <t>Production personnel wages</t>
  </si>
  <si>
    <t>COMPANY RESULTS FORECAST</t>
  </si>
  <si>
    <t>INCOME STATEMENT</t>
  </si>
  <si>
    <t>Total sales</t>
  </si>
  <si>
    <t>Cost or retailer margins</t>
  </si>
  <si>
    <t>Direct production costs</t>
  </si>
  <si>
    <t>Cost of sales promotions</t>
  </si>
  <si>
    <t>Cost of wholesalers</t>
  </si>
  <si>
    <t>Factory-Platforms transport costs</t>
  </si>
  <si>
    <t>Warehouse costs</t>
  </si>
  <si>
    <t>Platforms-Retailers transport costs</t>
  </si>
  <si>
    <t>Import duties</t>
  </si>
  <si>
    <t>GENERAL EXPENSES</t>
  </si>
  <si>
    <t>Depreciation expense</t>
  </si>
  <si>
    <t>General overhead</t>
  </si>
  <si>
    <t>Sales force incentives</t>
  </si>
  <si>
    <t>Market research expense</t>
  </si>
  <si>
    <t>Total general expenses</t>
  </si>
  <si>
    <t>Operating income</t>
  </si>
  <si>
    <t>Preventive maintenance</t>
  </si>
  <si>
    <t>Office and management staff turnover</t>
  </si>
  <si>
    <t>Sales force turnover</t>
  </si>
  <si>
    <t>FINANCIAL INCOME/EXPENSES</t>
  </si>
  <si>
    <t>Income from financial investments</t>
  </si>
  <si>
    <t>Income from fixed-term deposits</t>
  </si>
  <si>
    <t>Gain on sale of securities</t>
  </si>
  <si>
    <t>Other financial income</t>
  </si>
  <si>
    <t>Financial expenses - loans</t>
  </si>
  <si>
    <t>Financial expenses - credit line</t>
  </si>
  <si>
    <t>Financial expenses - factoring</t>
  </si>
  <si>
    <t>Financial expenses - fees</t>
  </si>
  <si>
    <t>Financial expenses - overdraft</t>
  </si>
  <si>
    <t>Loss on sale of securities</t>
  </si>
  <si>
    <t>Other financial expenses</t>
  </si>
  <si>
    <t>Total financial income/expenses</t>
  </si>
  <si>
    <t>OTHER INCOME/EXPENSES</t>
  </si>
  <si>
    <t>Other income</t>
  </si>
  <si>
    <t>Other expenses</t>
  </si>
  <si>
    <t>Total other income/expenses</t>
  </si>
  <si>
    <t>NET INCOME</t>
  </si>
  <si>
    <t>BALANCE SHEET*</t>
  </si>
  <si>
    <t>ASSETS</t>
  </si>
  <si>
    <t>December Year 1</t>
  </si>
  <si>
    <t>January Year 1</t>
  </si>
  <si>
    <t>Cash and equivalents</t>
  </si>
  <si>
    <t>Receivables</t>
  </si>
  <si>
    <t>Inventory</t>
  </si>
  <si>
    <t>Total current assets</t>
  </si>
  <si>
    <t>Quality control PY</t>
  </si>
  <si>
    <t>SMED</t>
  </si>
  <si>
    <t>Depreciation and amortization</t>
  </si>
  <si>
    <t>Total fixed assets</t>
  </si>
  <si>
    <t>Total Assets</t>
  </si>
  <si>
    <t>LIABILITIES</t>
  </si>
  <si>
    <t>Credit line</t>
  </si>
  <si>
    <t>Total current liabilities</t>
  </si>
  <si>
    <t>Total non-current liabilities</t>
  </si>
  <si>
    <t>Total Liabilities</t>
  </si>
  <si>
    <t>OWNERS' EQUITY</t>
  </si>
  <si>
    <t>Common Stock</t>
  </si>
  <si>
    <t>Previous years retained earnings</t>
  </si>
  <si>
    <t>Current year retained earnings</t>
  </si>
  <si>
    <t>Total Owners' equity</t>
  </si>
  <si>
    <t>Position based on accumulated profit</t>
  </si>
  <si>
    <t>Position based on current year's net income</t>
  </si>
  <si>
    <r>
      <t>MMT39</t>
    </r>
    <r>
      <rPr>
        <b/>
        <vertAlign val="superscript"/>
        <sz val="26"/>
        <color indexed="10"/>
        <rFont val="Arial"/>
        <family val="2"/>
      </rPr>
      <t>®</t>
    </r>
  </si>
  <si>
    <t>E ($)</t>
  </si>
  <si>
    <t>S</t>
  </si>
  <si>
    <t>H</t>
  </si>
  <si>
    <t>Number of sales managers</t>
  </si>
  <si>
    <t>Number of sales reps per zone</t>
  </si>
  <si>
    <t>Sales reps salary</t>
  </si>
  <si>
    <t>Market E</t>
  </si>
  <si>
    <t>PRODUCT DECISIONS - SUNSCREEN (S)</t>
  </si>
  <si>
    <t>EG</t>
  </si>
  <si>
    <t>Advertising Market E</t>
  </si>
  <si>
    <t>PRODUCT DECISIONS -  MOISTURIZING LOTION (H)</t>
  </si>
  <si>
    <t>Payment terms for suppliers of S (days)</t>
  </si>
  <si>
    <t>Payment terms for suppliers of H (days)</t>
  </si>
  <si>
    <t>SUNSCREEN (S) SALES FORECAST</t>
  </si>
  <si>
    <t>MOISTURIZING LOTION (H) SALES FORECAST</t>
  </si>
  <si>
    <t>E</t>
  </si>
  <si>
    <t>SALES S</t>
  </si>
  <si>
    <t>Net revenue S</t>
  </si>
  <si>
    <t>COST OF GOODS SOLD S</t>
  </si>
  <si>
    <t>Total cost of goods sold S</t>
  </si>
  <si>
    <t>Gross profit S</t>
  </si>
  <si>
    <t>SALES H</t>
  </si>
  <si>
    <t>Net revenue H</t>
  </si>
  <si>
    <t>COST OF GOODS SOLD H</t>
  </si>
  <si>
    <t>Total cost of goods sold H</t>
  </si>
  <si>
    <t>Gross profit H</t>
  </si>
  <si>
    <t>Sales network market A</t>
  </si>
  <si>
    <t>Sales network market B</t>
  </si>
  <si>
    <t>Sales network market E</t>
  </si>
  <si>
    <t>Advertising expense S (including POP advertising)</t>
  </si>
  <si>
    <t>Advertising expense H (including POP advertising)</t>
  </si>
  <si>
    <t>Inventory of raw materials S</t>
  </si>
  <si>
    <t>Inventory of raw materials H</t>
  </si>
  <si>
    <t>Inventory of finished goods S</t>
  </si>
  <si>
    <t>Inventory of finished goods H</t>
  </si>
  <si>
    <t>Payables of S</t>
  </si>
  <si>
    <t>Payables of H</t>
  </si>
  <si>
    <t>Research and development</t>
  </si>
  <si>
    <t>Through sales managers</t>
  </si>
  <si>
    <t>WORKSHEET</t>
  </si>
  <si>
    <t>Recruitment and training</t>
  </si>
  <si>
    <t>Long-term loans</t>
  </si>
  <si>
    <t>Short-term loans</t>
  </si>
  <si>
    <t xml:space="preserve">NOTE: Please be advised that those cells with a yellow background color are given data and must be updated each year of simulation in accordance with the information given in the results sheet and the general information menu. </t>
  </si>
  <si>
    <t>Cells with a blue background color should be used to input results or the appropriate formulas to calculate automatically results.</t>
  </si>
  <si>
    <t>COMMERCIAL DISTRIBUTION</t>
  </si>
  <si>
    <t>Survey ID</t>
  </si>
  <si>
    <t>Selected</t>
  </si>
  <si>
    <t>Lines previously installed</t>
  </si>
  <si>
    <t>Land, buildings and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</si>
</sst>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0"/>
      <name val="Arial"/>
      <family val="2"/>
    </font>
    <font>
      <b/>
      <sz val="10"/>
      <name val="Arial"/>
      <family val="2"/>
    </font>
    <font>
      <b/>
      <sz val="26"/>
      <color indexed="10"/>
      <name val="Arial"/>
      <family val="2"/>
    </font>
    <font>
      <b/>
      <vertAlign val="superscript"/>
      <sz val="26"/>
      <color indexed="10"/>
      <name val="Arial"/>
      <family val="2"/>
    </font>
    <font>
      <sz val="12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1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2"/>
      </patternFill>
    </fill>
    <fill>
      <patternFill patternType="solid">
        <fgColor indexed="49"/>
        <b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10"/>
        <bgColor indexed="16"/>
      </patternFill>
    </fill>
    <fill>
      <patternFill patternType="solid">
        <fgColor indexed="59"/>
        <bgColor indexed="63"/>
      </patternFill>
    </fill>
    <fill>
      <patternFill patternType="solid">
        <fgColor theme="1"/>
        <bgColor indexed="31"/>
      </patternFill>
    </fill>
    <fill>
      <patternFill patternType="solid">
        <fgColor rgb="FFFFFDCC"/>
        <bgColor indexed="9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4" fontId="0" fillId="4" borderId="1" xfId="0" applyNumberForma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0" fillId="2" borderId="0" xfId="0" applyFill="1"/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3" fontId="0" fillId="6" borderId="0" xfId="0" applyNumberFormat="1" applyFill="1" applyAlignment="1">
      <alignment horizontal="right" vertical="center"/>
    </xf>
    <xf numFmtId="0" fontId="1" fillId="4" borderId="0" xfId="0" applyFont="1" applyFill="1"/>
    <xf numFmtId="3" fontId="1" fillId="6" borderId="0" xfId="0" applyNumberFormat="1" applyFont="1" applyFill="1" applyAlignment="1">
      <alignment horizontal="right" vertical="center"/>
    </xf>
    <xf numFmtId="0" fontId="9" fillId="0" borderId="0" xfId="0" applyFont="1"/>
    <xf numFmtId="0" fontId="4" fillId="0" borderId="0" xfId="0" applyFont="1"/>
    <xf numFmtId="0" fontId="7" fillId="3" borderId="0" xfId="0" applyFont="1" applyFill="1"/>
    <xf numFmtId="3" fontId="0" fillId="4" borderId="0" xfId="0" applyNumberFormat="1" applyFill="1" applyAlignment="1">
      <alignment horizontal="right" vertical="center"/>
    </xf>
    <xf numFmtId="0" fontId="1" fillId="3" borderId="1" xfId="0" applyFont="1" applyFill="1" applyBorder="1" applyAlignment="1">
      <alignment horizontal="center"/>
    </xf>
    <xf numFmtId="4" fontId="0" fillId="4" borderId="1" xfId="0" applyNumberForma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6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7" fillId="2" borderId="0" xfId="0" applyFont="1" applyFill="1"/>
    <xf numFmtId="0" fontId="0" fillId="2" borderId="5" xfId="0" applyFill="1" applyBorder="1" applyAlignment="1">
      <alignment horizontal="center" vertical="center"/>
    </xf>
    <xf numFmtId="0" fontId="6" fillId="2" borderId="7" xfId="0" applyFont="1" applyFill="1" applyBorder="1"/>
    <xf numFmtId="0" fontId="7" fillId="2" borderId="8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0" xfId="0" applyFill="1"/>
    <xf numFmtId="3" fontId="0" fillId="2" borderId="5" xfId="0" applyNumberForma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0" fontId="7" fillId="4" borderId="0" xfId="0" applyFont="1" applyFill="1"/>
    <xf numFmtId="3" fontId="0" fillId="2" borderId="5" xfId="0" applyNumberFormat="1" applyFill="1" applyBorder="1" applyAlignment="1">
      <alignment horizontal="center" vertical="center"/>
    </xf>
    <xf numFmtId="3" fontId="0" fillId="6" borderId="0" xfId="0" applyNumberFormat="1" applyFill="1"/>
    <xf numFmtId="0" fontId="1" fillId="2" borderId="5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4" fontId="7" fillId="5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3" fontId="0" fillId="6" borderId="1" xfId="0" applyNumberFormat="1" applyFill="1" applyBorder="1"/>
    <xf numFmtId="3" fontId="0" fillId="5" borderId="1" xfId="0" applyNumberFormat="1" applyFill="1" applyBorder="1"/>
    <xf numFmtId="0" fontId="1" fillId="7" borderId="14" xfId="0" applyFont="1" applyFill="1" applyBorder="1"/>
    <xf numFmtId="3" fontId="1" fillId="7" borderId="14" xfId="0" applyNumberFormat="1" applyFont="1" applyFill="1" applyBorder="1" applyAlignment="1">
      <alignment horizontal="right" vertical="center"/>
    </xf>
    <xf numFmtId="0" fontId="1" fillId="3" borderId="14" xfId="0" applyFont="1" applyFill="1" applyBorder="1"/>
    <xf numFmtId="3" fontId="1" fillId="6" borderId="14" xfId="0" applyNumberFormat="1" applyFont="1" applyFill="1" applyBorder="1" applyAlignment="1">
      <alignment horizontal="right" vertical="center"/>
    </xf>
    <xf numFmtId="0" fontId="1" fillId="8" borderId="14" xfId="0" applyFont="1" applyFill="1" applyBorder="1"/>
    <xf numFmtId="0" fontId="1" fillId="8" borderId="14" xfId="0" applyFont="1" applyFill="1" applyBorder="1" applyAlignment="1">
      <alignment horizontal="center" vertical="center"/>
    </xf>
    <xf numFmtId="0" fontId="1" fillId="3" borderId="3" xfId="0" applyFont="1" applyFill="1" applyBorder="1"/>
    <xf numFmtId="3" fontId="1" fillId="6" borderId="3" xfId="0" applyNumberFormat="1" applyFont="1" applyFill="1" applyBorder="1" applyAlignment="1">
      <alignment horizontal="right" vertical="center"/>
    </xf>
    <xf numFmtId="0" fontId="0" fillId="7" borderId="14" xfId="0" applyFill="1" applyBorder="1"/>
    <xf numFmtId="3" fontId="1" fillId="7" borderId="14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/>
    </xf>
    <xf numFmtId="0" fontId="1" fillId="2" borderId="14" xfId="0" applyFont="1" applyFill="1" applyBorder="1"/>
    <xf numFmtId="0" fontId="0" fillId="2" borderId="14" xfId="0" applyFill="1" applyBorder="1"/>
    <xf numFmtId="3" fontId="0" fillId="7" borderId="14" xfId="0" applyNumberFormat="1" applyFill="1" applyBorder="1" applyAlignment="1">
      <alignment horizontal="right" vertical="center"/>
    </xf>
    <xf numFmtId="0" fontId="1" fillId="7" borderId="8" xfId="0" applyFont="1" applyFill="1" applyBorder="1"/>
    <xf numFmtId="3" fontId="1" fillId="2" borderId="9" xfId="0" applyNumberFormat="1" applyFont="1" applyFill="1" applyBorder="1" applyAlignment="1">
      <alignment horizontal="right" vertical="center"/>
    </xf>
    <xf numFmtId="0" fontId="1" fillId="7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0" fillId="3" borderId="3" xfId="0" applyFill="1" applyBorder="1"/>
    <xf numFmtId="3" fontId="1" fillId="5" borderId="3" xfId="0" applyNumberFormat="1" applyFont="1" applyFill="1" applyBorder="1"/>
    <xf numFmtId="0" fontId="1" fillId="5" borderId="4" xfId="0" applyFont="1" applyFill="1" applyBorder="1" applyAlignment="1">
      <alignment horizontal="right" vertical="center"/>
    </xf>
    <xf numFmtId="0" fontId="0" fillId="3" borderId="8" xfId="0" applyFill="1" applyBorder="1"/>
    <xf numFmtId="3" fontId="1" fillId="5" borderId="8" xfId="0" applyNumberFormat="1" applyFont="1" applyFill="1" applyBorder="1"/>
    <xf numFmtId="0" fontId="1" fillId="5" borderId="9" xfId="0" applyFont="1" applyFill="1" applyBorder="1" applyAlignment="1">
      <alignment horizontal="right" vertical="center"/>
    </xf>
    <xf numFmtId="0" fontId="0" fillId="4" borderId="0" xfId="0" applyFill="1"/>
    <xf numFmtId="0" fontId="8" fillId="2" borderId="0" xfId="0" applyFont="1" applyFill="1"/>
    <xf numFmtId="0" fontId="8" fillId="2" borderId="8" xfId="0" applyFont="1" applyFill="1" applyBorder="1"/>
    <xf numFmtId="3" fontId="0" fillId="5" borderId="1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0" fontId="1" fillId="3" borderId="15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9" fontId="0" fillId="0" borderId="0" xfId="0" applyNumberFormat="1"/>
    <xf numFmtId="3" fontId="0" fillId="4" borderId="1" xfId="0" applyNumberFormat="1" applyFill="1" applyBorder="1" applyAlignment="1">
      <alignment horizontal="right" vertical="center"/>
    </xf>
    <xf numFmtId="4" fontId="0" fillId="12" borderId="1" xfId="0" applyNumberForma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  <xf numFmtId="3" fontId="0" fillId="0" borderId="0" xfId="0" applyNumberFormat="1"/>
    <xf numFmtId="3" fontId="0" fillId="5" borderId="1" xfId="0" applyNumberForma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4" fontId="0" fillId="5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/>
    </xf>
    <xf numFmtId="4" fontId="0" fillId="5" borderId="1" xfId="0" applyNumberFormat="1" applyFill="1" applyBorder="1" applyAlignment="1">
      <alignment horizontal="center" vertical="center"/>
    </xf>
    <xf numFmtId="0" fontId="1" fillId="2" borderId="3" xfId="0" applyFont="1" applyFill="1" applyBorder="1"/>
    <xf numFmtId="0" fontId="1" fillId="3" borderId="8" xfId="0" applyFont="1" applyFill="1" applyBorder="1"/>
    <xf numFmtId="0" fontId="0" fillId="3" borderId="1" xfId="0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4" fontId="0" fillId="12" borderId="15" xfId="0" applyNumberFormat="1" applyFill="1" applyBorder="1" applyAlignment="1">
      <alignment horizontal="left" vertical="center"/>
    </xf>
    <xf numFmtId="4" fontId="0" fillId="12" borderId="14" xfId="0" applyNumberFormat="1" applyFill="1" applyBorder="1" applyAlignment="1">
      <alignment horizontal="left" vertical="center"/>
    </xf>
    <xf numFmtId="4" fontId="0" fillId="12" borderId="16" xfId="0" applyNumberFormat="1" applyFill="1" applyBorder="1" applyAlignment="1">
      <alignment horizontal="left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5000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23FF23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55E00"/>
      <rgbColor rgb="00993300"/>
      <rgbColor rgb="00993366"/>
      <rgbColor rgb="00333399"/>
      <rgbColor rgb="00333333"/>
    </indexedColors>
    <mruColors>
      <color rgb="FFFF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0</xdr:rowOff>
    </xdr:from>
    <xdr:to>
      <xdr:col>4</xdr:col>
      <xdr:colOff>0</xdr:colOff>
      <xdr:row>0</xdr:row>
      <xdr:rowOff>495300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1CF8C4-4C04-6648-A83E-2C2C4C74E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252730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EC45-7061-4046-845C-2D87B346EFF9}">
  <dimension ref="B1:M348"/>
  <sheetViews>
    <sheetView showGridLines="0" tabSelected="1" topLeftCell="A326" zoomScale="174" zoomScaleNormal="100" zoomScaleSheetLayoutView="150" workbookViewId="0">
      <selection activeCell="D342" sqref="D342"/>
    </sheetView>
  </sheetViews>
  <sheetFormatPr baseColWidth="10" defaultColWidth="11.5" defaultRowHeight="13" x14ac:dyDescent="0.15"/>
  <cols>
    <col min="1" max="1" width="3.6640625" customWidth="1"/>
    <col min="2" max="2" width="2.33203125" customWidth="1"/>
    <col min="3" max="3" width="17.83203125" customWidth="1"/>
    <col min="4" max="4" width="12.6640625" customWidth="1"/>
    <col min="5" max="6" width="12.83203125" customWidth="1"/>
    <col min="7" max="7" width="13" customWidth="1"/>
    <col min="8" max="8" width="14.6640625" customWidth="1"/>
    <col min="9" max="9" width="13.83203125" customWidth="1"/>
    <col min="10" max="10" width="14.83203125" customWidth="1"/>
    <col min="11" max="11" width="3.5" customWidth="1"/>
    <col min="12" max="12" width="13" customWidth="1"/>
  </cols>
  <sheetData>
    <row r="1" spans="2:12" ht="39.75" customHeight="1" x14ac:dyDescent="0.35">
      <c r="I1" s="1" t="s">
        <v>210</v>
      </c>
      <c r="J1" s="1"/>
    </row>
    <row r="2" spans="2:12" ht="14" thickBot="1" x14ac:dyDescent="0.2"/>
    <row r="3" spans="2:12" ht="24" thickBot="1" x14ac:dyDescent="0.3">
      <c r="B3" s="119" t="s">
        <v>250</v>
      </c>
      <c r="C3" s="120"/>
      <c r="D3" s="120"/>
      <c r="E3" s="120"/>
      <c r="F3" s="120"/>
      <c r="G3" s="120"/>
      <c r="H3" s="120"/>
      <c r="I3" s="120"/>
      <c r="J3" s="120"/>
      <c r="K3" s="121"/>
    </row>
    <row r="4" spans="2:12" ht="13.25" customHeight="1" x14ac:dyDescent="0.15"/>
    <row r="5" spans="2:12" ht="28.25" customHeight="1" x14ac:dyDescent="0.15">
      <c r="B5" s="122" t="s">
        <v>254</v>
      </c>
      <c r="C5" s="122"/>
      <c r="D5" s="122"/>
      <c r="E5" s="122"/>
      <c r="F5" s="122"/>
      <c r="G5" s="122"/>
      <c r="H5" s="122"/>
      <c r="I5" s="122"/>
      <c r="J5" s="122"/>
      <c r="K5" s="122"/>
    </row>
    <row r="6" spans="2:12" x14ac:dyDescent="0.15">
      <c r="B6" s="123" t="s">
        <v>16</v>
      </c>
      <c r="C6" s="123"/>
      <c r="D6" s="123"/>
      <c r="E6" s="123"/>
      <c r="F6" s="123"/>
      <c r="G6" s="123"/>
      <c r="H6" s="123"/>
      <c r="I6" s="123"/>
      <c r="J6" s="123"/>
      <c r="K6" s="123"/>
    </row>
    <row r="7" spans="2:12" x14ac:dyDescent="0.15">
      <c r="B7" s="122" t="s">
        <v>255</v>
      </c>
      <c r="C7" s="122"/>
      <c r="D7" s="122"/>
      <c r="E7" s="122"/>
      <c r="F7" s="122"/>
      <c r="G7" s="122"/>
      <c r="H7" s="122"/>
      <c r="I7" s="122"/>
      <c r="J7" s="122"/>
      <c r="K7" s="122"/>
    </row>
    <row r="8" spans="2:12" ht="13.25" customHeight="1" x14ac:dyDescent="0.15"/>
    <row r="9" spans="2:12" x14ac:dyDescent="0.15">
      <c r="B9" s="124" t="s">
        <v>17</v>
      </c>
      <c r="C9" s="124"/>
      <c r="D9" s="124"/>
      <c r="E9" s="124"/>
      <c r="F9" s="124"/>
      <c r="G9" s="124"/>
      <c r="H9" s="124"/>
      <c r="I9" s="124"/>
      <c r="J9" s="124"/>
      <c r="K9" s="124"/>
    </row>
    <row r="10" spans="2:12" x14ac:dyDescent="0.15">
      <c r="B10" s="26"/>
      <c r="C10" s="27"/>
      <c r="D10" s="27"/>
      <c r="E10" s="27"/>
      <c r="F10" s="27"/>
      <c r="G10" s="27"/>
      <c r="H10" s="27"/>
      <c r="I10" s="27"/>
      <c r="J10" s="14"/>
      <c r="K10" s="28"/>
    </row>
    <row r="11" spans="2:12" x14ac:dyDescent="0.15">
      <c r="B11" s="32"/>
      <c r="C11" s="125" t="s">
        <v>42</v>
      </c>
      <c r="D11" s="125"/>
      <c r="E11" s="2"/>
      <c r="F11" s="126" t="s">
        <v>20</v>
      </c>
      <c r="G11" s="126"/>
      <c r="H11" s="126"/>
      <c r="I11" s="25">
        <v>1</v>
      </c>
      <c r="J11" s="14"/>
      <c r="K11" s="29"/>
      <c r="L11" s="3"/>
    </row>
    <row r="12" spans="2:12" x14ac:dyDescent="0.15">
      <c r="B12" s="32"/>
      <c r="C12" s="4" t="s">
        <v>18</v>
      </c>
      <c r="D12" s="4" t="s">
        <v>19</v>
      </c>
      <c r="E12" s="14"/>
      <c r="F12" s="14"/>
      <c r="G12" s="14"/>
      <c r="H12" s="14"/>
      <c r="I12" s="14"/>
      <c r="J12" s="14"/>
      <c r="K12" s="30"/>
    </row>
    <row r="13" spans="2:12" x14ac:dyDescent="0.15">
      <c r="B13" s="32"/>
      <c r="C13" s="6" t="s">
        <v>0</v>
      </c>
      <c r="D13" s="7">
        <v>27000</v>
      </c>
      <c r="E13" s="31"/>
      <c r="F13" s="126" t="s">
        <v>21</v>
      </c>
      <c r="G13" s="126"/>
      <c r="H13" s="126"/>
      <c r="I13" s="92">
        <v>7</v>
      </c>
      <c r="J13" s="31"/>
      <c r="K13" s="30"/>
    </row>
    <row r="14" spans="2:12" x14ac:dyDescent="0.15">
      <c r="B14" s="32"/>
      <c r="C14" s="6" t="s">
        <v>6</v>
      </c>
      <c r="D14" s="7">
        <v>35000</v>
      </c>
      <c r="E14" s="31"/>
      <c r="F14" s="31"/>
      <c r="G14" s="31"/>
      <c r="H14" s="31"/>
      <c r="I14" s="31"/>
      <c r="J14" s="31"/>
      <c r="K14" s="30"/>
    </row>
    <row r="15" spans="2:12" x14ac:dyDescent="0.15">
      <c r="B15" s="32"/>
      <c r="C15" s="6" t="s">
        <v>211</v>
      </c>
      <c r="D15" s="7">
        <v>46000</v>
      </c>
      <c r="E15" s="14"/>
      <c r="F15" s="128" t="s">
        <v>22</v>
      </c>
      <c r="G15" s="129"/>
      <c r="H15" s="129"/>
      <c r="I15" s="130"/>
      <c r="J15" s="31"/>
      <c r="K15" s="30"/>
    </row>
    <row r="16" spans="2:12" x14ac:dyDescent="0.15">
      <c r="B16" s="32"/>
      <c r="C16" s="9"/>
      <c r="D16" s="9"/>
      <c r="E16" s="9"/>
      <c r="F16" s="135" t="s">
        <v>23</v>
      </c>
      <c r="G16" s="136"/>
      <c r="H16" s="137"/>
      <c r="I16" s="5">
        <v>20</v>
      </c>
      <c r="J16" s="31"/>
      <c r="K16" s="30"/>
    </row>
    <row r="17" spans="2:11" x14ac:dyDescent="0.15">
      <c r="B17" s="32"/>
      <c r="C17" s="131" t="s">
        <v>43</v>
      </c>
      <c r="D17" s="132"/>
      <c r="E17" s="14"/>
      <c r="F17" s="128" t="s">
        <v>24</v>
      </c>
      <c r="G17" s="129"/>
      <c r="H17" s="129"/>
      <c r="I17" s="130"/>
      <c r="J17" s="31"/>
      <c r="K17" s="30"/>
    </row>
    <row r="18" spans="2:11" x14ac:dyDescent="0.15">
      <c r="B18" s="32"/>
      <c r="C18" s="133"/>
      <c r="D18" s="134"/>
      <c r="E18" s="14"/>
      <c r="F18" s="135" t="s">
        <v>25</v>
      </c>
      <c r="G18" s="136"/>
      <c r="H18" s="137"/>
      <c r="I18" s="8">
        <v>4</v>
      </c>
      <c r="J18" s="31"/>
      <c r="K18" s="30"/>
    </row>
    <row r="19" spans="2:11" x14ac:dyDescent="0.15">
      <c r="B19" s="32"/>
      <c r="C19" s="107" t="s">
        <v>40</v>
      </c>
      <c r="D19" s="24" t="s">
        <v>41</v>
      </c>
      <c r="E19" s="14"/>
      <c r="F19" s="127" t="s">
        <v>26</v>
      </c>
      <c r="G19" s="127"/>
      <c r="H19" s="127"/>
      <c r="I19" s="5">
        <v>10</v>
      </c>
      <c r="J19" s="14"/>
      <c r="K19" s="30"/>
    </row>
    <row r="20" spans="2:11" x14ac:dyDescent="0.15">
      <c r="B20" s="32"/>
      <c r="C20" s="118" t="s">
        <v>212</v>
      </c>
      <c r="D20" s="25">
        <v>1.65</v>
      </c>
      <c r="E20" s="14"/>
      <c r="F20" s="127" t="s">
        <v>27</v>
      </c>
      <c r="G20" s="127"/>
      <c r="H20" s="127"/>
      <c r="I20" s="5">
        <v>1</v>
      </c>
      <c r="J20" s="14"/>
      <c r="K20" s="30"/>
    </row>
    <row r="21" spans="2:11" x14ac:dyDescent="0.15">
      <c r="B21" s="32"/>
      <c r="C21" s="118" t="s">
        <v>213</v>
      </c>
      <c r="D21" s="25">
        <v>1.05</v>
      </c>
      <c r="E21" s="14"/>
      <c r="F21" s="127" t="s">
        <v>28</v>
      </c>
      <c r="G21" s="127"/>
      <c r="H21" s="127"/>
      <c r="I21" s="5">
        <v>1</v>
      </c>
      <c r="J21" s="14"/>
      <c r="K21" s="30"/>
    </row>
    <row r="22" spans="2:11" x14ac:dyDescent="0.15">
      <c r="B22" s="32"/>
      <c r="C22" s="14"/>
      <c r="D22" s="14"/>
      <c r="E22" s="14"/>
      <c r="F22" s="128" t="s">
        <v>33</v>
      </c>
      <c r="G22" s="129"/>
      <c r="H22" s="129"/>
      <c r="I22" s="130"/>
      <c r="J22" s="14"/>
      <c r="K22" s="30"/>
    </row>
    <row r="23" spans="2:11" ht="13" customHeight="1" x14ac:dyDescent="0.15">
      <c r="B23" s="32"/>
      <c r="C23" s="131" t="s">
        <v>44</v>
      </c>
      <c r="D23" s="132"/>
      <c r="E23" s="14"/>
      <c r="F23" s="127" t="s">
        <v>26</v>
      </c>
      <c r="G23" s="127"/>
      <c r="H23" s="127"/>
      <c r="I23" s="5">
        <v>7</v>
      </c>
      <c r="J23" s="14"/>
      <c r="K23" s="30"/>
    </row>
    <row r="24" spans="2:11" x14ac:dyDescent="0.15">
      <c r="B24" s="32"/>
      <c r="C24" s="133"/>
      <c r="D24" s="134"/>
      <c r="E24" s="14"/>
      <c r="F24" s="127" t="s">
        <v>27</v>
      </c>
      <c r="G24" s="127"/>
      <c r="H24" s="127"/>
      <c r="I24" s="5">
        <v>1</v>
      </c>
      <c r="J24" s="14"/>
      <c r="K24" s="30"/>
    </row>
    <row r="25" spans="2:11" x14ac:dyDescent="0.15">
      <c r="B25" s="32"/>
      <c r="C25" s="107" t="s">
        <v>40</v>
      </c>
      <c r="D25" s="24" t="s">
        <v>41</v>
      </c>
      <c r="E25" s="14"/>
      <c r="F25" s="135" t="s">
        <v>29</v>
      </c>
      <c r="G25" s="136"/>
      <c r="H25" s="137"/>
      <c r="I25" s="5">
        <v>1</v>
      </c>
      <c r="J25" s="14"/>
      <c r="K25" s="30"/>
    </row>
    <row r="26" spans="2:11" ht="13" customHeight="1" x14ac:dyDescent="0.15">
      <c r="B26" s="32"/>
      <c r="C26" s="118" t="s">
        <v>212</v>
      </c>
      <c r="D26" s="25">
        <v>0.25</v>
      </c>
      <c r="E26" s="14"/>
      <c r="F26" s="128" t="s">
        <v>30</v>
      </c>
      <c r="G26" s="129"/>
      <c r="H26" s="129"/>
      <c r="I26" s="130"/>
      <c r="J26" s="14"/>
      <c r="K26" s="30"/>
    </row>
    <row r="27" spans="2:11" x14ac:dyDescent="0.15">
      <c r="B27" s="32"/>
      <c r="C27" s="118" t="s">
        <v>213</v>
      </c>
      <c r="D27" s="25">
        <v>0.15</v>
      </c>
      <c r="E27" s="14"/>
      <c r="F27" s="127" t="s">
        <v>26</v>
      </c>
      <c r="G27" s="127"/>
      <c r="H27" s="127"/>
      <c r="I27" s="5">
        <v>2.5</v>
      </c>
      <c r="J27" s="14"/>
      <c r="K27" s="30"/>
    </row>
    <row r="28" spans="2:11" x14ac:dyDescent="0.15">
      <c r="B28" s="32"/>
      <c r="C28" s="14"/>
      <c r="D28" s="14"/>
      <c r="E28" s="14"/>
      <c r="F28" s="127" t="s">
        <v>31</v>
      </c>
      <c r="G28" s="127"/>
      <c r="H28" s="127"/>
      <c r="I28" s="5">
        <v>1</v>
      </c>
      <c r="J28" s="14"/>
      <c r="K28" s="30"/>
    </row>
    <row r="29" spans="2:11" x14ac:dyDescent="0.15">
      <c r="B29" s="32"/>
      <c r="C29" s="14"/>
      <c r="D29" s="14"/>
      <c r="E29" s="14"/>
      <c r="F29" s="128" t="s">
        <v>32</v>
      </c>
      <c r="G29" s="129"/>
      <c r="H29" s="129"/>
      <c r="I29" s="130"/>
      <c r="J29" s="14"/>
      <c r="K29" s="30"/>
    </row>
    <row r="30" spans="2:11" x14ac:dyDescent="0.15">
      <c r="B30" s="32"/>
      <c r="C30" s="14"/>
      <c r="D30" s="14"/>
      <c r="E30" s="14"/>
      <c r="F30" s="127" t="s">
        <v>26</v>
      </c>
      <c r="G30" s="127"/>
      <c r="H30" s="127"/>
      <c r="I30" s="5">
        <v>2.5</v>
      </c>
      <c r="J30" s="14"/>
      <c r="K30" s="30"/>
    </row>
    <row r="31" spans="2:11" x14ac:dyDescent="0.15">
      <c r="B31" s="32"/>
      <c r="C31" s="14"/>
      <c r="D31" s="14"/>
      <c r="E31" s="14"/>
      <c r="F31" s="127" t="s">
        <v>31</v>
      </c>
      <c r="G31" s="127"/>
      <c r="H31" s="127"/>
      <c r="I31" s="5">
        <v>1</v>
      </c>
      <c r="J31" s="14"/>
      <c r="K31" s="30"/>
    </row>
    <row r="32" spans="2:11" x14ac:dyDescent="0.15">
      <c r="B32" s="32"/>
      <c r="C32" s="14"/>
      <c r="D32" s="14"/>
      <c r="E32" s="14"/>
      <c r="F32" s="126" t="s">
        <v>34</v>
      </c>
      <c r="G32" s="126"/>
      <c r="H32" s="126"/>
      <c r="I32" s="5">
        <v>5.5</v>
      </c>
      <c r="J32" s="14"/>
      <c r="K32" s="30"/>
    </row>
    <row r="33" spans="2:11" x14ac:dyDescent="0.15">
      <c r="B33" s="32"/>
      <c r="C33" s="14"/>
      <c r="D33" s="14"/>
      <c r="E33" s="14"/>
      <c r="F33" s="128" t="s">
        <v>35</v>
      </c>
      <c r="G33" s="129"/>
      <c r="H33" s="129"/>
      <c r="I33" s="130"/>
      <c r="J33" s="14"/>
      <c r="K33" s="30"/>
    </row>
    <row r="34" spans="2:11" x14ac:dyDescent="0.15">
      <c r="B34" s="32"/>
      <c r="C34" s="14"/>
      <c r="D34" s="14"/>
      <c r="E34" s="14"/>
      <c r="F34" s="138" t="s">
        <v>36</v>
      </c>
      <c r="G34" s="139"/>
      <c r="H34" s="140"/>
      <c r="I34" s="5"/>
      <c r="J34" s="14"/>
      <c r="K34" s="30"/>
    </row>
    <row r="35" spans="2:11" x14ac:dyDescent="0.15">
      <c r="B35" s="32"/>
      <c r="C35" s="14"/>
      <c r="D35" s="14"/>
      <c r="E35" s="14"/>
      <c r="F35" s="138" t="s">
        <v>37</v>
      </c>
      <c r="G35" s="139"/>
      <c r="H35" s="140"/>
      <c r="I35" s="99"/>
      <c r="J35" s="14"/>
      <c r="K35" s="30"/>
    </row>
    <row r="36" spans="2:11" x14ac:dyDescent="0.15">
      <c r="B36" s="32"/>
      <c r="C36" s="14"/>
      <c r="D36" s="14"/>
      <c r="E36" s="14"/>
      <c r="F36" s="138" t="s">
        <v>38</v>
      </c>
      <c r="G36" s="139"/>
      <c r="H36" s="140"/>
      <c r="I36" s="5"/>
      <c r="J36" s="14"/>
      <c r="K36" s="30"/>
    </row>
    <row r="37" spans="2:11" x14ac:dyDescent="0.15">
      <c r="B37" s="32"/>
      <c r="C37" s="14"/>
      <c r="D37" s="14"/>
      <c r="E37" s="14"/>
      <c r="F37" s="14" t="s">
        <v>39</v>
      </c>
      <c r="G37" s="14"/>
      <c r="H37" s="14"/>
      <c r="I37" s="14"/>
      <c r="J37" s="14"/>
      <c r="K37" s="30"/>
    </row>
    <row r="38" spans="2:11" x14ac:dyDescent="0.15">
      <c r="B38" s="33"/>
      <c r="C38" s="34"/>
      <c r="D38" s="34"/>
      <c r="E38" s="34"/>
      <c r="F38" s="34"/>
      <c r="G38" s="34"/>
      <c r="H38" s="34"/>
      <c r="I38" s="34"/>
      <c r="J38" s="34"/>
      <c r="K38" s="35"/>
    </row>
    <row r="39" spans="2:11" x14ac:dyDescent="0.15">
      <c r="B39" s="141" t="s">
        <v>256</v>
      </c>
      <c r="C39" s="142"/>
      <c r="D39" s="142"/>
      <c r="E39" s="142"/>
      <c r="F39" s="142"/>
      <c r="G39" s="142"/>
      <c r="H39" s="142"/>
      <c r="I39" s="142"/>
      <c r="J39" s="143"/>
      <c r="K39" s="144"/>
    </row>
    <row r="40" spans="2:11" x14ac:dyDescent="0.15">
      <c r="B40" s="26"/>
      <c r="C40" s="27"/>
      <c r="D40" s="27"/>
      <c r="E40" s="27"/>
      <c r="F40" s="27"/>
      <c r="G40" s="27"/>
      <c r="H40" s="27"/>
      <c r="I40" s="27"/>
      <c r="J40" s="27"/>
      <c r="K40" s="28"/>
    </row>
    <row r="41" spans="2:11" x14ac:dyDescent="0.15">
      <c r="B41" s="32"/>
      <c r="C41" s="125" t="s">
        <v>214</v>
      </c>
      <c r="D41" s="125"/>
      <c r="E41" s="14"/>
      <c r="F41" s="14"/>
      <c r="G41" s="14"/>
      <c r="H41" s="14"/>
      <c r="I41" s="14"/>
      <c r="J41" s="14"/>
      <c r="K41" s="30"/>
    </row>
    <row r="42" spans="2:11" x14ac:dyDescent="0.15">
      <c r="B42" s="32"/>
      <c r="C42" s="6" t="s">
        <v>45</v>
      </c>
      <c r="D42" s="111"/>
      <c r="E42" s="14"/>
      <c r="F42" s="14"/>
      <c r="G42" s="14"/>
      <c r="H42" s="14"/>
      <c r="I42" s="14"/>
      <c r="J42" s="14"/>
      <c r="K42" s="30"/>
    </row>
    <row r="43" spans="2:11" x14ac:dyDescent="0.15">
      <c r="B43" s="32"/>
      <c r="C43" s="6" t="s">
        <v>46</v>
      </c>
      <c r="D43" s="111"/>
      <c r="E43" s="14"/>
      <c r="F43" s="14"/>
      <c r="G43" s="14"/>
      <c r="H43" s="14"/>
      <c r="I43" s="14"/>
      <c r="J43" s="14"/>
      <c r="K43" s="30"/>
    </row>
    <row r="44" spans="2:11" x14ac:dyDescent="0.15">
      <c r="B44" s="32"/>
      <c r="C44" s="6" t="s">
        <v>217</v>
      </c>
      <c r="D44" s="111"/>
      <c r="E44" s="14"/>
      <c r="F44" s="14"/>
      <c r="G44" s="14"/>
      <c r="H44" s="14"/>
      <c r="I44" s="14"/>
      <c r="J44" s="14"/>
      <c r="K44" s="30"/>
    </row>
    <row r="45" spans="2:11" x14ac:dyDescent="0.15">
      <c r="B45" s="33"/>
      <c r="C45" s="34"/>
      <c r="D45" s="34"/>
      <c r="E45" s="34"/>
      <c r="F45" s="34"/>
      <c r="G45" s="34"/>
      <c r="H45" s="34"/>
      <c r="I45" s="34"/>
      <c r="J45" s="34"/>
      <c r="K45" s="35"/>
    </row>
    <row r="46" spans="2:11" x14ac:dyDescent="0.15">
      <c r="B46" s="141" t="s">
        <v>47</v>
      </c>
      <c r="C46" s="142"/>
      <c r="D46" s="142"/>
      <c r="E46" s="142"/>
      <c r="F46" s="142"/>
      <c r="G46" s="142"/>
      <c r="H46" s="142"/>
      <c r="I46" s="142"/>
      <c r="J46" s="143"/>
      <c r="K46" s="144"/>
    </row>
    <row r="47" spans="2:11" x14ac:dyDescent="0.15">
      <c r="B47" s="32"/>
      <c r="C47" s="14"/>
      <c r="D47" s="14"/>
      <c r="E47" s="14"/>
      <c r="F47" s="14"/>
      <c r="G47" s="14"/>
      <c r="H47" s="14"/>
      <c r="I47" s="14"/>
      <c r="J47" s="14"/>
      <c r="K47" s="30"/>
    </row>
    <row r="48" spans="2:11" ht="13" customHeight="1" x14ac:dyDescent="0.15">
      <c r="B48" s="32"/>
      <c r="C48" s="14"/>
      <c r="D48" s="147" t="s">
        <v>48</v>
      </c>
      <c r="E48" s="149" t="s">
        <v>49</v>
      </c>
      <c r="F48" s="150"/>
      <c r="G48" s="149" t="s">
        <v>50</v>
      </c>
      <c r="H48" s="150"/>
      <c r="I48" s="14"/>
      <c r="J48" s="14"/>
      <c r="K48" s="30"/>
    </row>
    <row r="49" spans="2:12" ht="28" x14ac:dyDescent="0.15">
      <c r="B49" s="32"/>
      <c r="C49" s="14"/>
      <c r="D49" s="148"/>
      <c r="E49" s="52" t="s">
        <v>51</v>
      </c>
      <c r="F49" s="52" t="s">
        <v>52</v>
      </c>
      <c r="G49" s="52" t="s">
        <v>51</v>
      </c>
      <c r="H49" s="52" t="s">
        <v>52</v>
      </c>
      <c r="I49" s="14"/>
      <c r="J49" s="14"/>
      <c r="K49" s="30"/>
    </row>
    <row r="50" spans="2:12" x14ac:dyDescent="0.15">
      <c r="B50" s="32"/>
      <c r="C50" s="6" t="s">
        <v>45</v>
      </c>
      <c r="D50" s="111">
        <v>30</v>
      </c>
      <c r="E50" s="112">
        <v>12000</v>
      </c>
      <c r="F50" s="112">
        <v>10</v>
      </c>
      <c r="G50" s="112">
        <v>1500</v>
      </c>
      <c r="H50" s="112">
        <v>30</v>
      </c>
      <c r="I50" s="14"/>
      <c r="J50" s="14"/>
      <c r="K50" s="30"/>
    </row>
    <row r="51" spans="2:12" x14ac:dyDescent="0.15">
      <c r="B51" s="32"/>
      <c r="C51" s="6" t="s">
        <v>46</v>
      </c>
      <c r="D51" s="111">
        <v>30</v>
      </c>
      <c r="E51" s="112">
        <v>12000</v>
      </c>
      <c r="F51" s="112">
        <v>10</v>
      </c>
      <c r="G51" s="112">
        <v>1500</v>
      </c>
      <c r="H51" s="112">
        <v>30</v>
      </c>
      <c r="I51" s="14"/>
      <c r="J51" s="14"/>
      <c r="K51" s="30"/>
    </row>
    <row r="52" spans="2:12" x14ac:dyDescent="0.15">
      <c r="B52" s="32"/>
      <c r="C52" s="6" t="s">
        <v>217</v>
      </c>
      <c r="D52" s="108">
        <v>60</v>
      </c>
      <c r="E52" s="112">
        <v>12000</v>
      </c>
      <c r="F52" s="112">
        <v>10</v>
      </c>
      <c r="G52" s="112">
        <v>1500</v>
      </c>
      <c r="H52" s="112">
        <v>30</v>
      </c>
      <c r="I52" s="14"/>
      <c r="J52" s="14"/>
      <c r="K52" s="30"/>
    </row>
    <row r="53" spans="2:12" x14ac:dyDescent="0.15">
      <c r="B53" s="33"/>
      <c r="C53" s="34"/>
      <c r="D53" s="34"/>
      <c r="E53" s="34"/>
      <c r="F53" s="34"/>
      <c r="G53" s="34"/>
      <c r="H53" s="34"/>
      <c r="I53" s="34"/>
      <c r="J53" s="34"/>
      <c r="K53" s="35"/>
    </row>
    <row r="54" spans="2:12" x14ac:dyDescent="0.15">
      <c r="B54" s="141" t="s">
        <v>53</v>
      </c>
      <c r="C54" s="142"/>
      <c r="D54" s="142"/>
      <c r="E54" s="142"/>
      <c r="F54" s="142"/>
      <c r="G54" s="142"/>
      <c r="H54" s="142"/>
      <c r="I54" s="142"/>
      <c r="J54" s="143"/>
      <c r="K54" s="144"/>
    </row>
    <row r="55" spans="2:12" x14ac:dyDescent="0.15">
      <c r="B55" s="26"/>
      <c r="C55" s="27"/>
      <c r="D55" s="27"/>
      <c r="E55" s="27"/>
      <c r="F55" s="27"/>
      <c r="G55" s="27"/>
      <c r="H55" s="27"/>
      <c r="I55" s="40"/>
      <c r="J55" s="14"/>
      <c r="K55" s="41"/>
      <c r="L55" s="12"/>
    </row>
    <row r="56" spans="2:12" x14ac:dyDescent="0.15">
      <c r="B56" s="32"/>
      <c r="C56" s="125" t="s">
        <v>58</v>
      </c>
      <c r="D56" s="125"/>
      <c r="E56" s="125"/>
      <c r="F56" s="14"/>
      <c r="G56" s="125" t="s">
        <v>145</v>
      </c>
      <c r="H56" s="125"/>
      <c r="I56" s="125"/>
      <c r="J56" s="14"/>
      <c r="K56" s="90"/>
      <c r="L56" s="12"/>
    </row>
    <row r="57" spans="2:12" x14ac:dyDescent="0.15">
      <c r="B57" s="32"/>
      <c r="C57" s="145" t="s">
        <v>59</v>
      </c>
      <c r="D57" s="145"/>
      <c r="E57" s="103">
        <v>108000</v>
      </c>
      <c r="F57" s="14"/>
      <c r="G57" s="146" t="s">
        <v>63</v>
      </c>
      <c r="H57" s="146"/>
      <c r="I57" s="93">
        <v>12000</v>
      </c>
      <c r="J57" s="14"/>
      <c r="K57" s="90"/>
      <c r="L57" s="12"/>
    </row>
    <row r="58" spans="2:12" x14ac:dyDescent="0.15">
      <c r="B58" s="32"/>
      <c r="C58" s="145" t="s">
        <v>60</v>
      </c>
      <c r="D58" s="145"/>
      <c r="E58" s="103">
        <v>72124</v>
      </c>
      <c r="F58" s="14"/>
      <c r="G58" s="146" t="s">
        <v>64</v>
      </c>
      <c r="H58" s="146"/>
      <c r="I58" s="93">
        <v>21000</v>
      </c>
      <c r="J58" s="14"/>
      <c r="K58" s="90"/>
      <c r="L58" s="12"/>
    </row>
    <row r="59" spans="2:12" x14ac:dyDescent="0.15">
      <c r="B59" s="32"/>
      <c r="C59" s="145" t="s">
        <v>61</v>
      </c>
      <c r="D59" s="145"/>
      <c r="E59" s="103">
        <v>51100</v>
      </c>
      <c r="F59" s="14"/>
      <c r="G59" s="14"/>
      <c r="H59" s="14"/>
      <c r="I59" s="14"/>
      <c r="J59" s="14"/>
      <c r="K59" s="90"/>
      <c r="L59" s="12"/>
    </row>
    <row r="60" spans="2:12" x14ac:dyDescent="0.15">
      <c r="B60" s="32"/>
      <c r="C60" s="145" t="s">
        <v>62</v>
      </c>
      <c r="D60" s="145"/>
      <c r="E60" s="103">
        <v>30050</v>
      </c>
      <c r="F60" s="14"/>
      <c r="G60" s="151" t="s">
        <v>65</v>
      </c>
      <c r="H60" s="152"/>
      <c r="I60" s="153"/>
      <c r="J60" s="91" t="s">
        <v>15</v>
      </c>
      <c r="K60" s="90"/>
      <c r="L60" s="12"/>
    </row>
    <row r="61" spans="2:12" x14ac:dyDescent="0.15">
      <c r="B61" s="32"/>
      <c r="C61" s="14"/>
      <c r="D61" s="14"/>
      <c r="E61" s="14"/>
      <c r="F61" s="14"/>
      <c r="G61" s="14"/>
      <c r="H61" s="14"/>
      <c r="I61" s="11"/>
      <c r="J61" s="14"/>
      <c r="K61" s="90"/>
      <c r="L61" s="12"/>
    </row>
    <row r="62" spans="2:12" x14ac:dyDescent="0.15">
      <c r="B62" s="32"/>
      <c r="C62" s="125" t="s">
        <v>215</v>
      </c>
      <c r="D62" s="125"/>
      <c r="E62" s="125"/>
      <c r="F62" s="11"/>
      <c r="G62" s="125" t="s">
        <v>216</v>
      </c>
      <c r="H62" s="125"/>
      <c r="I62" s="125"/>
      <c r="J62" s="14"/>
      <c r="K62" s="30"/>
    </row>
    <row r="63" spans="2:12" x14ac:dyDescent="0.15">
      <c r="B63" s="32"/>
      <c r="C63" s="145" t="s">
        <v>1</v>
      </c>
      <c r="D63" s="145"/>
      <c r="E63" s="86"/>
      <c r="F63" s="14"/>
      <c r="G63" s="146" t="s">
        <v>54</v>
      </c>
      <c r="H63" s="146"/>
      <c r="I63" s="93"/>
      <c r="J63" s="14"/>
      <c r="K63" s="30"/>
    </row>
    <row r="64" spans="2:12" x14ac:dyDescent="0.15">
      <c r="B64" s="32"/>
      <c r="C64" s="145" t="s">
        <v>2</v>
      </c>
      <c r="D64" s="145"/>
      <c r="E64" s="86"/>
      <c r="F64" s="14"/>
      <c r="G64" s="146" t="s">
        <v>55</v>
      </c>
      <c r="H64" s="146"/>
      <c r="I64" s="113"/>
      <c r="J64" s="14"/>
      <c r="K64" s="30"/>
    </row>
    <row r="65" spans="2:11" x14ac:dyDescent="0.15">
      <c r="B65" s="32"/>
      <c r="C65" s="145" t="s">
        <v>7</v>
      </c>
      <c r="D65" s="145"/>
      <c r="E65" s="86"/>
      <c r="F65" s="14"/>
      <c r="G65" s="146" t="s">
        <v>56</v>
      </c>
      <c r="H65" s="146"/>
      <c r="I65" s="93"/>
      <c r="J65" s="14"/>
      <c r="K65" s="30"/>
    </row>
    <row r="66" spans="2:11" x14ac:dyDescent="0.15">
      <c r="B66" s="32"/>
      <c r="C66" s="145" t="s">
        <v>8</v>
      </c>
      <c r="D66" s="145"/>
      <c r="E66" s="86"/>
      <c r="F66" s="14"/>
      <c r="G66" s="146" t="s">
        <v>57</v>
      </c>
      <c r="H66" s="146"/>
      <c r="I66" s="113"/>
      <c r="J66" s="14"/>
      <c r="K66" s="30"/>
    </row>
    <row r="67" spans="2:11" x14ac:dyDescent="0.15">
      <c r="B67" s="32"/>
      <c r="C67" s="14"/>
      <c r="D67" s="14"/>
      <c r="E67" s="14"/>
      <c r="F67" s="14"/>
      <c r="G67" s="14"/>
      <c r="H67" s="14"/>
      <c r="I67" s="14"/>
      <c r="J67" s="14"/>
      <c r="K67" s="30"/>
    </row>
    <row r="68" spans="2:11" x14ac:dyDescent="0.15">
      <c r="B68" s="141" t="s">
        <v>66</v>
      </c>
      <c r="C68" s="142"/>
      <c r="D68" s="142"/>
      <c r="E68" s="142"/>
      <c r="F68" s="142"/>
      <c r="G68" s="142"/>
      <c r="H68" s="142"/>
      <c r="I68" s="142"/>
      <c r="J68" s="143"/>
      <c r="K68" s="144"/>
    </row>
    <row r="69" spans="2:11" x14ac:dyDescent="0.15">
      <c r="B69" s="26"/>
      <c r="C69" s="27"/>
      <c r="D69" s="27"/>
      <c r="E69" s="27"/>
      <c r="F69" s="27"/>
      <c r="G69" s="27"/>
      <c r="H69" s="27"/>
      <c r="I69" s="27"/>
      <c r="J69" s="27"/>
      <c r="K69" s="28"/>
    </row>
    <row r="70" spans="2:11" x14ac:dyDescent="0.15">
      <c r="B70" s="32"/>
      <c r="C70" s="105" t="s">
        <v>257</v>
      </c>
      <c r="D70" s="105" t="s">
        <v>41</v>
      </c>
      <c r="E70" s="105" t="s">
        <v>258</v>
      </c>
      <c r="F70" s="181"/>
      <c r="G70" s="105" t="s">
        <v>257</v>
      </c>
      <c r="H70" s="105" t="s">
        <v>41</v>
      </c>
      <c r="I70" s="105" t="s">
        <v>258</v>
      </c>
      <c r="J70" s="181"/>
      <c r="K70" s="30"/>
    </row>
    <row r="71" spans="2:11" x14ac:dyDescent="0.15">
      <c r="B71" s="32"/>
      <c r="C71" s="105">
        <v>1</v>
      </c>
      <c r="D71" s="7">
        <v>3000</v>
      </c>
      <c r="E71" s="93"/>
      <c r="F71" s="181"/>
      <c r="G71" s="105">
        <v>15</v>
      </c>
      <c r="H71" s="7">
        <v>72000</v>
      </c>
      <c r="I71" s="93"/>
      <c r="J71" s="181"/>
      <c r="K71" s="30"/>
    </row>
    <row r="72" spans="2:11" x14ac:dyDescent="0.15">
      <c r="B72" s="32"/>
      <c r="C72" s="105">
        <v>2</v>
      </c>
      <c r="D72" s="7">
        <v>3000</v>
      </c>
      <c r="E72" s="93"/>
      <c r="F72" s="181"/>
      <c r="G72" s="105">
        <v>16</v>
      </c>
      <c r="H72" s="7">
        <v>49000</v>
      </c>
      <c r="I72" s="93"/>
      <c r="J72" s="181"/>
      <c r="K72" s="30"/>
    </row>
    <row r="73" spans="2:11" x14ac:dyDescent="0.15">
      <c r="B73" s="32"/>
      <c r="C73" s="105">
        <v>3</v>
      </c>
      <c r="D73" s="7">
        <v>36000</v>
      </c>
      <c r="E73" s="93"/>
      <c r="F73" s="181"/>
      <c r="G73" s="105">
        <v>17</v>
      </c>
      <c r="H73" s="7">
        <v>24000</v>
      </c>
      <c r="I73" s="93"/>
      <c r="J73" s="181"/>
      <c r="K73" s="30"/>
    </row>
    <row r="74" spans="2:11" x14ac:dyDescent="0.15">
      <c r="B74" s="32"/>
      <c r="C74" s="105">
        <v>4</v>
      </c>
      <c r="D74" s="7">
        <v>72000</v>
      </c>
      <c r="E74" s="93"/>
      <c r="F74" s="181"/>
      <c r="G74" s="105">
        <v>18</v>
      </c>
      <c r="H74" s="7">
        <v>36000</v>
      </c>
      <c r="I74" s="93"/>
      <c r="J74" s="181"/>
      <c r="K74" s="30"/>
    </row>
    <row r="75" spans="2:11" x14ac:dyDescent="0.15">
      <c r="B75" s="32"/>
      <c r="C75" s="105">
        <v>5</v>
      </c>
      <c r="D75" s="7">
        <v>89800</v>
      </c>
      <c r="E75" s="93"/>
      <c r="F75" s="181"/>
      <c r="G75" s="105">
        <v>19</v>
      </c>
      <c r="H75" s="7">
        <v>110000</v>
      </c>
      <c r="I75" s="93"/>
      <c r="J75" s="181"/>
      <c r="K75" s="30"/>
    </row>
    <row r="76" spans="2:11" x14ac:dyDescent="0.15">
      <c r="B76" s="32"/>
      <c r="C76" s="105">
        <v>6</v>
      </c>
      <c r="D76" s="7">
        <v>107000</v>
      </c>
      <c r="E76" s="93"/>
      <c r="F76" s="181"/>
      <c r="G76" s="105">
        <v>20</v>
      </c>
      <c r="H76" s="7">
        <v>0</v>
      </c>
      <c r="I76" s="93"/>
      <c r="J76" s="181"/>
      <c r="K76" s="30"/>
    </row>
    <row r="77" spans="2:11" x14ac:dyDescent="0.15">
      <c r="B77" s="32"/>
      <c r="C77" s="105">
        <v>7</v>
      </c>
      <c r="D77" s="7">
        <v>59900</v>
      </c>
      <c r="E77" s="93"/>
      <c r="F77" s="181"/>
      <c r="G77" s="105">
        <v>21</v>
      </c>
      <c r="H77" s="7">
        <v>0</v>
      </c>
      <c r="I77" s="93"/>
      <c r="J77" s="181"/>
      <c r="K77" s="30"/>
    </row>
    <row r="78" spans="2:11" x14ac:dyDescent="0.15">
      <c r="B78" s="32"/>
      <c r="C78" s="105">
        <v>8</v>
      </c>
      <c r="D78" s="7">
        <v>59900</v>
      </c>
      <c r="E78" s="93"/>
      <c r="F78" s="181"/>
      <c r="G78" s="105">
        <v>22</v>
      </c>
      <c r="H78" s="7">
        <v>0</v>
      </c>
      <c r="I78" s="93"/>
      <c r="J78" s="181"/>
      <c r="K78" s="30"/>
    </row>
    <row r="79" spans="2:11" x14ac:dyDescent="0.15">
      <c r="B79" s="32"/>
      <c r="C79" s="105">
        <v>9</v>
      </c>
      <c r="D79" s="7">
        <v>36000</v>
      </c>
      <c r="E79" s="93"/>
      <c r="F79" s="181"/>
      <c r="G79" s="105">
        <v>23</v>
      </c>
      <c r="H79" s="7">
        <v>1000</v>
      </c>
      <c r="I79" s="93"/>
      <c r="J79" s="181"/>
      <c r="K79" s="30"/>
    </row>
    <row r="80" spans="2:11" x14ac:dyDescent="0.15">
      <c r="B80" s="32"/>
      <c r="C80" s="105">
        <v>10</v>
      </c>
      <c r="D80" s="7">
        <v>59900</v>
      </c>
      <c r="E80" s="93"/>
      <c r="F80" s="181"/>
      <c r="G80" s="105">
        <v>24</v>
      </c>
      <c r="H80" s="7">
        <v>10000</v>
      </c>
      <c r="I80" s="93"/>
      <c r="J80" s="181"/>
      <c r="K80" s="30"/>
    </row>
    <row r="81" spans="2:11" x14ac:dyDescent="0.15">
      <c r="B81" s="32"/>
      <c r="C81" s="105">
        <v>11</v>
      </c>
      <c r="D81" s="7">
        <v>36000</v>
      </c>
      <c r="E81" s="93"/>
      <c r="F81" s="181"/>
      <c r="G81" s="105">
        <v>25</v>
      </c>
      <c r="H81" s="7">
        <v>5000</v>
      </c>
      <c r="I81" s="93"/>
      <c r="J81" s="181"/>
      <c r="K81" s="30"/>
    </row>
    <row r="82" spans="2:11" x14ac:dyDescent="0.15">
      <c r="B82" s="32"/>
      <c r="C82" s="105">
        <v>12</v>
      </c>
      <c r="D82" s="7">
        <v>36000</v>
      </c>
      <c r="E82" s="93"/>
      <c r="F82" s="181"/>
      <c r="G82" s="105">
        <v>26</v>
      </c>
      <c r="H82" s="7">
        <v>10000</v>
      </c>
      <c r="I82" s="93"/>
      <c r="J82" s="181"/>
      <c r="K82" s="30"/>
    </row>
    <row r="83" spans="2:11" x14ac:dyDescent="0.15">
      <c r="B83" s="32"/>
      <c r="C83" s="105">
        <v>13</v>
      </c>
      <c r="D83" s="7">
        <v>59900</v>
      </c>
      <c r="E83" s="93"/>
      <c r="F83" s="181"/>
      <c r="G83" s="105">
        <v>27</v>
      </c>
      <c r="H83" s="7">
        <v>3000</v>
      </c>
      <c r="I83" s="93"/>
      <c r="J83" s="181"/>
      <c r="K83" s="30"/>
    </row>
    <row r="84" spans="2:11" x14ac:dyDescent="0.15">
      <c r="B84" s="32"/>
      <c r="C84" s="105">
        <v>14</v>
      </c>
      <c r="D84" s="7">
        <v>24000</v>
      </c>
      <c r="E84" s="93"/>
      <c r="F84" s="181"/>
      <c r="G84" s="105">
        <v>28</v>
      </c>
      <c r="H84" s="7">
        <v>1000</v>
      </c>
      <c r="I84" s="93"/>
      <c r="J84" s="181"/>
      <c r="K84" s="30"/>
    </row>
    <row r="85" spans="2:11" x14ac:dyDescent="0.15">
      <c r="B85" s="32"/>
      <c r="C85" s="181"/>
      <c r="D85" s="181"/>
      <c r="E85" s="181"/>
      <c r="F85" s="181"/>
      <c r="G85" s="181"/>
      <c r="H85" s="181"/>
      <c r="I85" s="181"/>
      <c r="J85" s="181"/>
      <c r="K85" s="30"/>
    </row>
    <row r="86" spans="2:11" x14ac:dyDescent="0.15">
      <c r="B86" s="32"/>
      <c r="C86" s="156" t="s">
        <v>67</v>
      </c>
      <c r="D86" s="156"/>
      <c r="E86" s="156"/>
      <c r="F86" s="93"/>
      <c r="G86" s="14"/>
      <c r="H86" s="14"/>
      <c r="I86" s="14"/>
      <c r="J86" s="14"/>
      <c r="K86" s="30"/>
    </row>
    <row r="87" spans="2:11" x14ac:dyDescent="0.15">
      <c r="B87" s="33"/>
      <c r="C87" s="34"/>
      <c r="D87" s="34"/>
      <c r="E87" s="34"/>
      <c r="F87" s="34"/>
      <c r="G87" s="34"/>
      <c r="H87" s="34"/>
      <c r="I87" s="34"/>
      <c r="J87" s="34"/>
      <c r="K87" s="35"/>
    </row>
    <row r="88" spans="2:11" x14ac:dyDescent="0.15">
      <c r="B88" s="141" t="s">
        <v>218</v>
      </c>
      <c r="C88" s="142"/>
      <c r="D88" s="142"/>
      <c r="E88" s="142"/>
      <c r="F88" s="142"/>
      <c r="G88" s="142"/>
      <c r="H88" s="142"/>
      <c r="I88" s="142"/>
      <c r="J88" s="143"/>
      <c r="K88" s="144"/>
    </row>
    <row r="89" spans="2:11" x14ac:dyDescent="0.15">
      <c r="B89" s="26"/>
      <c r="C89" s="27"/>
      <c r="D89" s="27"/>
      <c r="E89" s="27"/>
      <c r="F89" s="27"/>
      <c r="G89" s="27"/>
      <c r="H89" s="27"/>
      <c r="I89" s="27"/>
      <c r="J89" s="27"/>
      <c r="K89" s="28"/>
    </row>
    <row r="90" spans="2:11" ht="28" x14ac:dyDescent="0.15">
      <c r="B90" s="32"/>
      <c r="C90" s="105" t="s">
        <v>68</v>
      </c>
      <c r="D90" s="52" t="s">
        <v>69</v>
      </c>
      <c r="E90" s="52" t="s">
        <v>70</v>
      </c>
      <c r="F90" s="52" t="s">
        <v>71</v>
      </c>
      <c r="G90" s="52" t="s">
        <v>72</v>
      </c>
      <c r="H90" s="110" t="s">
        <v>73</v>
      </c>
      <c r="I90" s="110" t="s">
        <v>86</v>
      </c>
      <c r="J90" s="110" t="s">
        <v>74</v>
      </c>
      <c r="K90" s="30"/>
    </row>
    <row r="91" spans="2:11" x14ac:dyDescent="0.15">
      <c r="B91" s="32"/>
      <c r="C91" s="6" t="s">
        <v>3</v>
      </c>
      <c r="D91" s="53"/>
      <c r="E91" s="53"/>
      <c r="F91" s="54"/>
      <c r="G91" s="55"/>
      <c r="H91" s="56"/>
      <c r="I91" s="113"/>
      <c r="J91" s="93"/>
      <c r="K91" s="30"/>
    </row>
    <row r="92" spans="2:11" x14ac:dyDescent="0.15">
      <c r="B92" s="32"/>
      <c r="C92" s="114" t="s">
        <v>1</v>
      </c>
      <c r="D92" s="53"/>
      <c r="E92" s="53"/>
      <c r="F92" s="54"/>
      <c r="G92" s="55"/>
      <c r="H92" s="56"/>
      <c r="I92" s="113"/>
      <c r="J92" s="93"/>
      <c r="K92" s="30"/>
    </row>
    <row r="93" spans="2:11" x14ac:dyDescent="0.15">
      <c r="B93" s="32"/>
      <c r="C93" s="114" t="s">
        <v>2</v>
      </c>
      <c r="D93" s="53"/>
      <c r="E93" s="53"/>
      <c r="F93" s="54"/>
      <c r="G93" s="55"/>
      <c r="H93" s="56"/>
      <c r="I93" s="113"/>
      <c r="J93" s="93"/>
      <c r="K93" s="30"/>
    </row>
    <row r="94" spans="2:11" x14ac:dyDescent="0.15">
      <c r="B94" s="32"/>
      <c r="C94" s="6" t="s">
        <v>9</v>
      </c>
      <c r="D94" s="53"/>
      <c r="E94" s="53"/>
      <c r="F94" s="54"/>
      <c r="G94" s="55"/>
      <c r="H94" s="56"/>
      <c r="I94" s="113"/>
      <c r="J94" s="93"/>
      <c r="K94" s="30"/>
    </row>
    <row r="95" spans="2:11" x14ac:dyDescent="0.15">
      <c r="B95" s="32"/>
      <c r="C95" s="114" t="s">
        <v>7</v>
      </c>
      <c r="D95" s="53"/>
      <c r="E95" s="53"/>
      <c r="F95" s="54"/>
      <c r="G95" s="55"/>
      <c r="H95" s="56"/>
      <c r="I95" s="113"/>
      <c r="J95" s="93"/>
      <c r="K95" s="30"/>
    </row>
    <row r="96" spans="2:11" x14ac:dyDescent="0.15">
      <c r="B96" s="32"/>
      <c r="C96" s="114" t="s">
        <v>8</v>
      </c>
      <c r="D96" s="53"/>
      <c r="E96" s="53"/>
      <c r="F96" s="54"/>
      <c r="G96" s="55"/>
      <c r="H96" s="56"/>
      <c r="I96" s="113"/>
      <c r="J96" s="93"/>
      <c r="K96" s="30"/>
    </row>
    <row r="97" spans="2:13" x14ac:dyDescent="0.15">
      <c r="B97" s="32"/>
      <c r="C97" s="6" t="s">
        <v>219</v>
      </c>
      <c r="D97" s="53"/>
      <c r="E97" s="53"/>
      <c r="F97" s="54"/>
      <c r="G97" s="55"/>
      <c r="H97" s="56"/>
      <c r="I97" s="113"/>
      <c r="J97" s="93"/>
      <c r="K97" s="30"/>
    </row>
    <row r="98" spans="2:13" x14ac:dyDescent="0.15">
      <c r="B98" s="32"/>
      <c r="C98" s="84"/>
      <c r="D98" s="14"/>
      <c r="E98" s="14"/>
      <c r="F98" s="14"/>
      <c r="G98" s="14"/>
      <c r="H98" s="14"/>
      <c r="I98" s="84"/>
      <c r="J98" s="14"/>
      <c r="K98" s="30"/>
    </row>
    <row r="99" spans="2:13" x14ac:dyDescent="0.15">
      <c r="B99" s="32"/>
      <c r="C99" s="157"/>
      <c r="D99" s="158"/>
      <c r="E99" s="159" t="s">
        <v>75</v>
      </c>
      <c r="F99" s="160"/>
      <c r="G99" s="159" t="s">
        <v>76</v>
      </c>
      <c r="H99" s="160"/>
      <c r="I99" s="159" t="s">
        <v>220</v>
      </c>
      <c r="J99" s="160"/>
      <c r="K99" s="30"/>
    </row>
    <row r="100" spans="2:13" x14ac:dyDescent="0.15">
      <c r="B100" s="32"/>
      <c r="C100" s="149" t="s">
        <v>77</v>
      </c>
      <c r="D100" s="150"/>
      <c r="E100" s="154"/>
      <c r="F100" s="155"/>
      <c r="G100" s="154"/>
      <c r="H100" s="155"/>
      <c r="I100" s="154"/>
      <c r="J100" s="155"/>
      <c r="K100" s="30"/>
      <c r="M100" s="13"/>
    </row>
    <row r="101" spans="2:13" ht="28" x14ac:dyDescent="0.15">
      <c r="B101" s="32"/>
      <c r="C101" s="149" t="s">
        <v>78</v>
      </c>
      <c r="D101" s="150"/>
      <c r="E101" s="109" t="s">
        <v>79</v>
      </c>
      <c r="F101" s="109" t="s">
        <v>80</v>
      </c>
      <c r="G101" s="109" t="s">
        <v>79</v>
      </c>
      <c r="H101" s="109" t="s">
        <v>80</v>
      </c>
      <c r="I101" s="109" t="s">
        <v>79</v>
      </c>
      <c r="J101" s="110" t="s">
        <v>81</v>
      </c>
      <c r="K101" s="30"/>
      <c r="M101" s="13"/>
    </row>
    <row r="102" spans="2:13" x14ac:dyDescent="0.15">
      <c r="B102" s="32"/>
      <c r="C102" s="135" t="s">
        <v>82</v>
      </c>
      <c r="D102" s="137"/>
      <c r="E102" s="86"/>
      <c r="F102" s="87">
        <f>+E102*10000</f>
        <v>0</v>
      </c>
      <c r="G102" s="86"/>
      <c r="H102" s="87">
        <f>+G102*10000</f>
        <v>0</v>
      </c>
      <c r="I102" s="86"/>
      <c r="J102" s="87">
        <f>+I102*11000</f>
        <v>0</v>
      </c>
      <c r="K102" s="30"/>
      <c r="M102" s="13"/>
    </row>
    <row r="103" spans="2:13" x14ac:dyDescent="0.15">
      <c r="B103" s="32"/>
      <c r="C103" s="135" t="s">
        <v>83</v>
      </c>
      <c r="D103" s="137"/>
      <c r="E103" s="86"/>
      <c r="F103" s="87">
        <f>+E103*15000</f>
        <v>0</v>
      </c>
      <c r="G103" s="86"/>
      <c r="H103" s="87">
        <f>+G103*15000</f>
        <v>0</v>
      </c>
      <c r="I103" s="86"/>
      <c r="J103" s="87">
        <f>+I103*16000</f>
        <v>0</v>
      </c>
      <c r="K103" s="30"/>
    </row>
    <row r="104" spans="2:13" x14ac:dyDescent="0.15">
      <c r="B104" s="32"/>
      <c r="C104" s="135" t="s">
        <v>11</v>
      </c>
      <c r="D104" s="137"/>
      <c r="E104" s="86"/>
      <c r="F104" s="87">
        <f>+E104*14000</f>
        <v>0</v>
      </c>
      <c r="G104" s="86"/>
      <c r="H104" s="87">
        <f>+G104*14000</f>
        <v>0</v>
      </c>
      <c r="I104" s="86"/>
      <c r="J104" s="87">
        <f>+I104*16000</f>
        <v>0</v>
      </c>
      <c r="K104" s="30"/>
      <c r="M104" s="13"/>
    </row>
    <row r="105" spans="2:13" x14ac:dyDescent="0.15">
      <c r="B105" s="32"/>
      <c r="C105" s="135" t="s">
        <v>84</v>
      </c>
      <c r="D105" s="137"/>
      <c r="E105" s="86"/>
      <c r="F105" s="87">
        <f>+E105*15000</f>
        <v>0</v>
      </c>
      <c r="G105" s="86"/>
      <c r="H105" s="87">
        <f>+G105*15000</f>
        <v>0</v>
      </c>
      <c r="I105" s="86"/>
      <c r="J105" s="87">
        <f>+I105*15000</f>
        <v>0</v>
      </c>
      <c r="K105" s="30"/>
    </row>
    <row r="106" spans="2:13" x14ac:dyDescent="0.15">
      <c r="B106" s="32"/>
      <c r="C106" s="135" t="s">
        <v>85</v>
      </c>
      <c r="D106" s="137"/>
      <c r="E106" s="86"/>
      <c r="F106" s="87">
        <f>+E106*18000</f>
        <v>0</v>
      </c>
      <c r="G106" s="86"/>
      <c r="H106" s="87">
        <f>+G106*18000</f>
        <v>0</v>
      </c>
      <c r="I106" s="86"/>
      <c r="J106" s="87">
        <f>+I106*20000</f>
        <v>0</v>
      </c>
      <c r="K106" s="30"/>
      <c r="M106" s="13"/>
    </row>
    <row r="107" spans="2:13" x14ac:dyDescent="0.15">
      <c r="B107" s="32"/>
      <c r="C107" s="163" t="s">
        <v>4</v>
      </c>
      <c r="D107" s="164"/>
      <c r="E107" s="88">
        <f>SUM(E102:E106)</f>
        <v>0</v>
      </c>
      <c r="F107" s="89">
        <f t="shared" ref="F107:J107" si="0">SUM(F102:F106)</f>
        <v>0</v>
      </c>
      <c r="G107" s="88">
        <f t="shared" si="0"/>
        <v>0</v>
      </c>
      <c r="H107" s="89">
        <f t="shared" si="0"/>
        <v>0</v>
      </c>
      <c r="I107" s="88">
        <f t="shared" si="0"/>
        <v>0</v>
      </c>
      <c r="J107" s="89">
        <f t="shared" si="0"/>
        <v>0</v>
      </c>
      <c r="K107" s="30"/>
    </row>
    <row r="108" spans="2:13" x14ac:dyDescent="0.15">
      <c r="B108" s="33"/>
      <c r="C108" s="34"/>
      <c r="D108" s="34"/>
      <c r="E108" s="34"/>
      <c r="F108" s="34"/>
      <c r="G108" s="34"/>
      <c r="H108" s="34"/>
      <c r="I108" s="34"/>
      <c r="J108" s="34"/>
      <c r="K108" s="35"/>
    </row>
    <row r="109" spans="2:13" x14ac:dyDescent="0.15">
      <c r="B109" s="141" t="s">
        <v>221</v>
      </c>
      <c r="C109" s="142"/>
      <c r="D109" s="142"/>
      <c r="E109" s="142"/>
      <c r="F109" s="142"/>
      <c r="G109" s="142"/>
      <c r="H109" s="142"/>
      <c r="I109" s="142"/>
      <c r="J109" s="143"/>
      <c r="K109" s="144"/>
    </row>
    <row r="110" spans="2:13" x14ac:dyDescent="0.15">
      <c r="B110" s="26"/>
      <c r="C110" s="27"/>
      <c r="D110" s="27"/>
      <c r="E110" s="27"/>
      <c r="F110" s="27"/>
      <c r="G110" s="27"/>
      <c r="H110" s="27"/>
      <c r="I110" s="27"/>
      <c r="J110" s="27"/>
      <c r="K110" s="28"/>
    </row>
    <row r="111" spans="2:13" ht="28" x14ac:dyDescent="0.15">
      <c r="B111" s="32"/>
      <c r="C111" s="105" t="s">
        <v>68</v>
      </c>
      <c r="D111" s="52" t="s">
        <v>69</v>
      </c>
      <c r="E111" s="52" t="s">
        <v>70</v>
      </c>
      <c r="F111" s="52" t="s">
        <v>71</v>
      </c>
      <c r="G111" s="52" t="s">
        <v>72</v>
      </c>
      <c r="H111" s="110" t="s">
        <v>73</v>
      </c>
      <c r="I111" s="110" t="s">
        <v>86</v>
      </c>
      <c r="J111" s="110" t="s">
        <v>74</v>
      </c>
      <c r="K111" s="30"/>
    </row>
    <row r="112" spans="2:13" x14ac:dyDescent="0.15">
      <c r="B112" s="32"/>
      <c r="C112" s="6" t="s">
        <v>3</v>
      </c>
      <c r="D112" s="53"/>
      <c r="E112" s="53"/>
      <c r="F112" s="54"/>
      <c r="G112" s="55"/>
      <c r="H112" s="56"/>
      <c r="I112" s="113"/>
      <c r="J112" s="93"/>
      <c r="K112" s="30"/>
    </row>
    <row r="113" spans="2:11" x14ac:dyDescent="0.15">
      <c r="B113" s="32"/>
      <c r="C113" s="114" t="s">
        <v>1</v>
      </c>
      <c r="D113" s="53"/>
      <c r="E113" s="53"/>
      <c r="F113" s="54"/>
      <c r="G113" s="55"/>
      <c r="H113" s="56"/>
      <c r="I113" s="113"/>
      <c r="J113" s="93"/>
      <c r="K113" s="30"/>
    </row>
    <row r="114" spans="2:11" x14ac:dyDescent="0.15">
      <c r="B114" s="32"/>
      <c r="C114" s="114" t="s">
        <v>2</v>
      </c>
      <c r="D114" s="53"/>
      <c r="E114" s="53"/>
      <c r="F114" s="54"/>
      <c r="G114" s="55"/>
      <c r="H114" s="56"/>
      <c r="I114" s="113"/>
      <c r="J114" s="93"/>
      <c r="K114" s="30"/>
    </row>
    <row r="115" spans="2:11" x14ac:dyDescent="0.15">
      <c r="B115" s="32"/>
      <c r="C115" s="6" t="s">
        <v>9</v>
      </c>
      <c r="D115" s="53"/>
      <c r="E115" s="53"/>
      <c r="F115" s="54"/>
      <c r="G115" s="55"/>
      <c r="H115" s="56"/>
      <c r="I115" s="113"/>
      <c r="J115" s="93"/>
      <c r="K115" s="30"/>
    </row>
    <row r="116" spans="2:11" x14ac:dyDescent="0.15">
      <c r="B116" s="32"/>
      <c r="C116" s="114" t="s">
        <v>7</v>
      </c>
      <c r="D116" s="53"/>
      <c r="E116" s="53"/>
      <c r="F116" s="54"/>
      <c r="G116" s="55"/>
      <c r="H116" s="56"/>
      <c r="I116" s="113"/>
      <c r="J116" s="93"/>
      <c r="K116" s="30"/>
    </row>
    <row r="117" spans="2:11" x14ac:dyDescent="0.15">
      <c r="B117" s="32"/>
      <c r="C117" s="114" t="s">
        <v>8</v>
      </c>
      <c r="D117" s="53"/>
      <c r="E117" s="53"/>
      <c r="F117" s="54"/>
      <c r="G117" s="55"/>
      <c r="H117" s="56"/>
      <c r="I117" s="113"/>
      <c r="J117" s="93"/>
      <c r="K117" s="30"/>
    </row>
    <row r="118" spans="2:11" x14ac:dyDescent="0.15">
      <c r="B118" s="32"/>
      <c r="C118" s="6" t="s">
        <v>5</v>
      </c>
      <c r="D118" s="53"/>
      <c r="E118" s="53"/>
      <c r="F118" s="54"/>
      <c r="G118" s="55"/>
      <c r="H118" s="56"/>
      <c r="I118" s="113"/>
      <c r="J118" s="93"/>
      <c r="K118" s="30"/>
    </row>
    <row r="119" spans="2:11" x14ac:dyDescent="0.15">
      <c r="B119" s="32"/>
      <c r="C119" s="14"/>
      <c r="D119" s="14"/>
      <c r="E119" s="14"/>
      <c r="F119" s="14"/>
      <c r="G119" s="14"/>
      <c r="H119" s="14"/>
      <c r="I119" s="84"/>
      <c r="J119" s="14"/>
      <c r="K119" s="30"/>
    </row>
    <row r="120" spans="2:11" x14ac:dyDescent="0.15">
      <c r="B120" s="32"/>
      <c r="C120" s="161"/>
      <c r="D120" s="161"/>
      <c r="E120" s="159" t="s">
        <v>75</v>
      </c>
      <c r="F120" s="160"/>
      <c r="G120" s="159" t="s">
        <v>76</v>
      </c>
      <c r="H120" s="160"/>
      <c r="I120" s="159" t="s">
        <v>220</v>
      </c>
      <c r="J120" s="160"/>
      <c r="K120" s="30"/>
    </row>
    <row r="121" spans="2:11" x14ac:dyDescent="0.15">
      <c r="B121" s="32"/>
      <c r="C121" s="125" t="s">
        <v>77</v>
      </c>
      <c r="D121" s="125"/>
      <c r="E121" s="162"/>
      <c r="F121" s="162"/>
      <c r="G121" s="162"/>
      <c r="H121" s="162"/>
      <c r="I121" s="162"/>
      <c r="J121" s="162"/>
      <c r="K121" s="30"/>
    </row>
    <row r="122" spans="2:11" ht="28" x14ac:dyDescent="0.15">
      <c r="B122" s="32"/>
      <c r="C122" s="125" t="s">
        <v>78</v>
      </c>
      <c r="D122" s="125"/>
      <c r="E122" s="109" t="s">
        <v>79</v>
      </c>
      <c r="F122" s="109" t="s">
        <v>80</v>
      </c>
      <c r="G122" s="109" t="s">
        <v>79</v>
      </c>
      <c r="H122" s="109" t="s">
        <v>80</v>
      </c>
      <c r="I122" s="109" t="s">
        <v>79</v>
      </c>
      <c r="J122" s="110" t="s">
        <v>81</v>
      </c>
      <c r="K122" s="30"/>
    </row>
    <row r="123" spans="2:11" x14ac:dyDescent="0.15">
      <c r="B123" s="32"/>
      <c r="C123" s="127" t="s">
        <v>82</v>
      </c>
      <c r="D123" s="127"/>
      <c r="E123" s="86"/>
      <c r="F123" s="87">
        <f>+E123*10000</f>
        <v>0</v>
      </c>
      <c r="G123" s="86"/>
      <c r="H123" s="87">
        <f>+G123*10000</f>
        <v>0</v>
      </c>
      <c r="I123" s="86"/>
      <c r="J123" s="87">
        <f>+I123*11000</f>
        <v>0</v>
      </c>
      <c r="K123" s="30"/>
    </row>
    <row r="124" spans="2:11" x14ac:dyDescent="0.15">
      <c r="B124" s="32"/>
      <c r="C124" s="127" t="s">
        <v>83</v>
      </c>
      <c r="D124" s="127"/>
      <c r="E124" s="86"/>
      <c r="F124" s="87">
        <f>+E124*15000</f>
        <v>0</v>
      </c>
      <c r="G124" s="86"/>
      <c r="H124" s="87">
        <f>+G124*15000</f>
        <v>0</v>
      </c>
      <c r="I124" s="86"/>
      <c r="J124" s="87">
        <f>+I124*16000</f>
        <v>0</v>
      </c>
      <c r="K124" s="30"/>
    </row>
    <row r="125" spans="2:11" x14ac:dyDescent="0.15">
      <c r="B125" s="32"/>
      <c r="C125" s="127" t="s">
        <v>11</v>
      </c>
      <c r="D125" s="127"/>
      <c r="E125" s="86"/>
      <c r="F125" s="87">
        <f>+E125*14000</f>
        <v>0</v>
      </c>
      <c r="G125" s="86"/>
      <c r="H125" s="87">
        <f>+G125*14000</f>
        <v>0</v>
      </c>
      <c r="I125" s="86"/>
      <c r="J125" s="87">
        <f>+I125*16000</f>
        <v>0</v>
      </c>
      <c r="K125" s="30"/>
    </row>
    <row r="126" spans="2:11" x14ac:dyDescent="0.15">
      <c r="B126" s="32"/>
      <c r="C126" s="127" t="s">
        <v>84</v>
      </c>
      <c r="D126" s="127"/>
      <c r="E126" s="86"/>
      <c r="F126" s="87">
        <f>+E126*15000</f>
        <v>0</v>
      </c>
      <c r="G126" s="86"/>
      <c r="H126" s="87">
        <f>+G126*15000</f>
        <v>0</v>
      </c>
      <c r="I126" s="86"/>
      <c r="J126" s="87">
        <f>+I126*15000</f>
        <v>0</v>
      </c>
      <c r="K126" s="30"/>
    </row>
    <row r="127" spans="2:11" x14ac:dyDescent="0.15">
      <c r="B127" s="32"/>
      <c r="C127" s="127" t="s">
        <v>85</v>
      </c>
      <c r="D127" s="127"/>
      <c r="E127" s="86"/>
      <c r="F127" s="87">
        <f>+E127*18000</f>
        <v>0</v>
      </c>
      <c r="G127" s="86"/>
      <c r="H127" s="87">
        <f>+G127*18000</f>
        <v>0</v>
      </c>
      <c r="I127" s="86"/>
      <c r="J127" s="87">
        <f>+I127*20000</f>
        <v>0</v>
      </c>
      <c r="K127" s="30"/>
    </row>
    <row r="128" spans="2:11" x14ac:dyDescent="0.15">
      <c r="B128" s="32"/>
      <c r="C128" s="165" t="s">
        <v>4</v>
      </c>
      <c r="D128" s="165"/>
      <c r="E128" s="88">
        <f>SUM(E123:E127)</f>
        <v>0</v>
      </c>
      <c r="F128" s="89">
        <f t="shared" ref="F128:J128" si="1">SUM(F123:F127)</f>
        <v>0</v>
      </c>
      <c r="G128" s="88">
        <f t="shared" si="1"/>
        <v>0</v>
      </c>
      <c r="H128" s="89">
        <f t="shared" si="1"/>
        <v>0</v>
      </c>
      <c r="I128" s="88">
        <f t="shared" si="1"/>
        <v>0</v>
      </c>
      <c r="J128" s="89">
        <f t="shared" si="1"/>
        <v>0</v>
      </c>
      <c r="K128" s="30"/>
    </row>
    <row r="129" spans="2:13" x14ac:dyDescent="0.15">
      <c r="B129" s="33"/>
      <c r="C129" s="34"/>
      <c r="D129" s="34"/>
      <c r="E129" s="34"/>
      <c r="F129" s="34"/>
      <c r="G129" s="34"/>
      <c r="H129" s="34"/>
      <c r="I129" s="34"/>
      <c r="J129" s="34"/>
      <c r="K129" s="35"/>
    </row>
    <row r="130" spans="2:13" x14ac:dyDescent="0.15">
      <c r="B130" s="141" t="s">
        <v>87</v>
      </c>
      <c r="C130" s="142"/>
      <c r="D130" s="142"/>
      <c r="E130" s="142"/>
      <c r="F130" s="142"/>
      <c r="G130" s="142"/>
      <c r="H130" s="142"/>
      <c r="I130" s="142"/>
      <c r="J130" s="143"/>
      <c r="K130" s="144"/>
    </row>
    <row r="131" spans="2:13" x14ac:dyDescent="0.15">
      <c r="B131" s="26"/>
      <c r="C131" s="27"/>
      <c r="D131" s="27"/>
      <c r="E131" s="27"/>
      <c r="F131" s="27"/>
      <c r="G131" s="27"/>
      <c r="H131" s="27"/>
      <c r="I131" s="27"/>
      <c r="J131" s="27"/>
      <c r="K131" s="28"/>
    </row>
    <row r="132" spans="2:13" x14ac:dyDescent="0.15">
      <c r="B132" s="32"/>
      <c r="C132" s="166" t="s">
        <v>88</v>
      </c>
      <c r="D132" s="167"/>
      <c r="E132" s="167"/>
      <c r="F132" s="167"/>
      <c r="G132" s="168"/>
      <c r="H132" s="14"/>
      <c r="I132" s="14"/>
      <c r="J132" s="14"/>
      <c r="K132" s="30"/>
    </row>
    <row r="133" spans="2:13" ht="42" x14ac:dyDescent="0.15">
      <c r="B133" s="32"/>
      <c r="C133" s="105" t="s">
        <v>40</v>
      </c>
      <c r="D133" s="52" t="s">
        <v>259</v>
      </c>
      <c r="E133" s="52" t="s">
        <v>89</v>
      </c>
      <c r="F133" s="52" t="s">
        <v>91</v>
      </c>
      <c r="G133" s="52" t="s">
        <v>90</v>
      </c>
      <c r="H133" s="14"/>
      <c r="I133" s="14"/>
      <c r="J133" s="14"/>
      <c r="K133" s="30"/>
    </row>
    <row r="134" spans="2:13" x14ac:dyDescent="0.15">
      <c r="B134" s="32"/>
      <c r="C134" s="107" t="s">
        <v>212</v>
      </c>
      <c r="D134" s="92">
        <v>0</v>
      </c>
      <c r="E134" s="86"/>
      <c r="F134" s="88">
        <f>D134+E134</f>
        <v>0</v>
      </c>
      <c r="G134" s="92">
        <v>0</v>
      </c>
      <c r="H134" s="14"/>
      <c r="I134" s="14"/>
      <c r="J134" s="14"/>
      <c r="K134" s="30"/>
    </row>
    <row r="135" spans="2:13" x14ac:dyDescent="0.15">
      <c r="B135" s="32"/>
      <c r="C135" s="107" t="s">
        <v>213</v>
      </c>
      <c r="D135" s="92">
        <v>0</v>
      </c>
      <c r="E135" s="86"/>
      <c r="F135" s="88">
        <f>D135+E135</f>
        <v>0</v>
      </c>
      <c r="G135" s="92">
        <v>0</v>
      </c>
      <c r="H135" s="14"/>
      <c r="I135" s="14"/>
      <c r="J135" s="14"/>
      <c r="K135" s="30"/>
    </row>
    <row r="136" spans="2:13" x14ac:dyDescent="0.15">
      <c r="B136" s="32"/>
      <c r="C136" s="14"/>
      <c r="D136" s="14"/>
      <c r="E136" s="14"/>
      <c r="F136" s="14"/>
      <c r="G136" s="14"/>
      <c r="H136" s="14"/>
      <c r="I136" s="14"/>
      <c r="J136" s="14"/>
      <c r="K136" s="30"/>
    </row>
    <row r="137" spans="2:13" x14ac:dyDescent="0.15">
      <c r="B137" s="32"/>
      <c r="C137" s="169" t="s">
        <v>92</v>
      </c>
      <c r="D137" s="170"/>
      <c r="E137" s="171"/>
      <c r="F137" s="86">
        <v>1</v>
      </c>
      <c r="G137" s="14"/>
      <c r="H137" s="14"/>
      <c r="I137" s="14"/>
      <c r="J137" s="14"/>
      <c r="K137" s="30"/>
      <c r="M137" s="97"/>
    </row>
    <row r="138" spans="2:13" x14ac:dyDescent="0.15">
      <c r="B138" s="32"/>
      <c r="C138" s="14"/>
      <c r="D138" s="14"/>
      <c r="E138" s="14"/>
      <c r="F138" s="14"/>
      <c r="G138" s="14"/>
      <c r="H138" s="14"/>
      <c r="I138" s="14"/>
      <c r="J138" s="14"/>
      <c r="K138" s="30"/>
      <c r="M138" s="97"/>
    </row>
    <row r="139" spans="2:13" x14ac:dyDescent="0.15">
      <c r="B139" s="32"/>
      <c r="C139" s="156" t="s">
        <v>93</v>
      </c>
      <c r="D139" s="156"/>
      <c r="E139" s="156"/>
      <c r="F139" s="91" t="s">
        <v>15</v>
      </c>
      <c r="G139" s="14"/>
      <c r="H139" s="14"/>
      <c r="I139" s="14"/>
      <c r="J139" s="14"/>
      <c r="K139" s="30"/>
      <c r="M139" s="97"/>
    </row>
    <row r="140" spans="2:13" x14ac:dyDescent="0.15">
      <c r="B140" s="32"/>
      <c r="C140" s="14"/>
      <c r="D140" s="36"/>
      <c r="E140" s="36"/>
      <c r="F140" s="14"/>
      <c r="G140" s="14"/>
      <c r="H140" s="14"/>
      <c r="I140" s="14"/>
      <c r="J140" s="14"/>
      <c r="K140" s="37"/>
      <c r="L140" s="10"/>
    </row>
    <row r="141" spans="2:13" x14ac:dyDescent="0.15">
      <c r="B141" s="32"/>
      <c r="C141" s="156" t="s">
        <v>94</v>
      </c>
      <c r="D141" s="156"/>
      <c r="E141" s="156"/>
      <c r="F141" s="91" t="s">
        <v>15</v>
      </c>
      <c r="G141" s="14"/>
      <c r="H141" s="14"/>
      <c r="I141" s="14"/>
      <c r="J141" s="14"/>
      <c r="K141" s="30"/>
    </row>
    <row r="142" spans="2:13" x14ac:dyDescent="0.15">
      <c r="B142" s="32"/>
      <c r="C142" s="14"/>
      <c r="D142" s="36"/>
      <c r="E142" s="36"/>
      <c r="F142" s="14"/>
      <c r="G142" s="14"/>
      <c r="H142" s="14"/>
      <c r="I142" s="14"/>
      <c r="J142" s="14"/>
      <c r="K142" s="37"/>
      <c r="L142" s="10"/>
    </row>
    <row r="143" spans="2:13" x14ac:dyDescent="0.15">
      <c r="B143" s="32"/>
      <c r="C143" s="166" t="s">
        <v>95</v>
      </c>
      <c r="D143" s="167"/>
      <c r="E143" s="167"/>
      <c r="F143" s="168"/>
      <c r="G143" s="14"/>
      <c r="H143" s="14"/>
      <c r="I143" s="14"/>
      <c r="J143" s="14"/>
      <c r="K143" s="30"/>
    </row>
    <row r="144" spans="2:13" ht="42" x14ac:dyDescent="0.15">
      <c r="B144" s="32"/>
      <c r="C144" s="105" t="s">
        <v>40</v>
      </c>
      <c r="D144" s="52" t="s">
        <v>96</v>
      </c>
      <c r="E144" s="52" t="s">
        <v>97</v>
      </c>
      <c r="F144" s="52" t="s">
        <v>98</v>
      </c>
      <c r="G144" s="14"/>
      <c r="H144" s="14"/>
      <c r="I144" s="14"/>
      <c r="J144" s="14"/>
      <c r="K144" s="30"/>
    </row>
    <row r="145" spans="2:11" x14ac:dyDescent="0.15">
      <c r="B145" s="32"/>
      <c r="C145" s="107" t="s">
        <v>212</v>
      </c>
      <c r="D145" s="98">
        <v>0</v>
      </c>
      <c r="E145" s="98">
        <v>0</v>
      </c>
      <c r="F145" s="93"/>
      <c r="G145" s="14"/>
      <c r="H145" s="14"/>
      <c r="I145" s="14"/>
      <c r="J145" s="14"/>
      <c r="K145" s="30"/>
    </row>
    <row r="146" spans="2:11" x14ac:dyDescent="0.15">
      <c r="B146" s="32"/>
      <c r="C146" s="107" t="s">
        <v>213</v>
      </c>
      <c r="D146" s="98">
        <v>0</v>
      </c>
      <c r="E146" s="98">
        <v>0</v>
      </c>
      <c r="F146" s="93"/>
      <c r="G146" s="14"/>
      <c r="H146" s="14"/>
      <c r="I146" s="14"/>
      <c r="J146" s="14"/>
      <c r="K146" s="30"/>
    </row>
    <row r="147" spans="2:11" x14ac:dyDescent="0.15">
      <c r="B147" s="32"/>
      <c r="C147" s="14"/>
      <c r="D147" s="14"/>
      <c r="E147" s="14"/>
      <c r="F147" s="14"/>
      <c r="G147" s="14"/>
      <c r="H147" s="14"/>
      <c r="I147" s="14"/>
      <c r="J147" s="14"/>
      <c r="K147" s="30"/>
    </row>
    <row r="148" spans="2:11" x14ac:dyDescent="0.15">
      <c r="B148" s="32"/>
      <c r="C148" s="166" t="s">
        <v>100</v>
      </c>
      <c r="D148" s="167"/>
      <c r="E148" s="167"/>
      <c r="F148" s="167"/>
      <c r="G148" s="168"/>
      <c r="H148" s="14"/>
      <c r="I148" s="14"/>
      <c r="J148" s="14"/>
      <c r="K148" s="30"/>
    </row>
    <row r="149" spans="2:11" ht="42" x14ac:dyDescent="0.15">
      <c r="B149" s="32"/>
      <c r="C149" s="52" t="s">
        <v>101</v>
      </c>
      <c r="D149" s="52" t="s">
        <v>102</v>
      </c>
      <c r="E149" s="52" t="s">
        <v>12</v>
      </c>
      <c r="F149" s="52" t="s">
        <v>103</v>
      </c>
      <c r="G149" s="52" t="s">
        <v>104</v>
      </c>
      <c r="H149" s="14"/>
      <c r="I149" s="14"/>
      <c r="J149" s="14"/>
      <c r="K149" s="30"/>
    </row>
    <row r="150" spans="2:11" x14ac:dyDescent="0.15">
      <c r="B150" s="32"/>
      <c r="C150" s="92">
        <v>0</v>
      </c>
      <c r="D150" s="86"/>
      <c r="E150" s="88">
        <f>C150+D150</f>
        <v>0</v>
      </c>
      <c r="F150" s="86"/>
      <c r="G150" s="86"/>
      <c r="H150" s="14"/>
      <c r="I150" s="14"/>
      <c r="J150" s="14"/>
      <c r="K150" s="30"/>
    </row>
    <row r="151" spans="2:11" x14ac:dyDescent="0.15">
      <c r="B151" s="32"/>
      <c r="C151" s="14" t="s">
        <v>99</v>
      </c>
      <c r="D151" s="14"/>
      <c r="E151" s="14"/>
      <c r="F151" s="14"/>
      <c r="G151" s="14"/>
      <c r="H151" s="14"/>
      <c r="I151" s="14"/>
      <c r="J151" s="14"/>
      <c r="K151" s="30"/>
    </row>
    <row r="152" spans="2:11" x14ac:dyDescent="0.15">
      <c r="B152" s="38"/>
      <c r="C152" s="39"/>
      <c r="D152" s="39"/>
      <c r="E152" s="34"/>
      <c r="F152" s="34"/>
      <c r="G152" s="34"/>
      <c r="H152" s="34"/>
      <c r="I152" s="34"/>
      <c r="J152" s="34"/>
      <c r="K152" s="35"/>
    </row>
    <row r="153" spans="2:11" x14ac:dyDescent="0.15">
      <c r="B153" s="141" t="s">
        <v>105</v>
      </c>
      <c r="C153" s="142"/>
      <c r="D153" s="142"/>
      <c r="E153" s="142"/>
      <c r="F153" s="142"/>
      <c r="G153" s="142"/>
      <c r="H153" s="142"/>
      <c r="I153" s="142"/>
      <c r="J153" s="143"/>
      <c r="K153" s="144"/>
    </row>
    <row r="154" spans="2:11" x14ac:dyDescent="0.15">
      <c r="B154" s="26"/>
      <c r="C154" s="27"/>
      <c r="D154" s="27"/>
      <c r="E154" s="27"/>
      <c r="F154" s="27"/>
      <c r="G154" s="27"/>
      <c r="H154" s="27"/>
      <c r="I154" s="27"/>
      <c r="J154" s="14"/>
      <c r="K154" s="28"/>
    </row>
    <row r="155" spans="2:11" x14ac:dyDescent="0.15">
      <c r="B155" s="32"/>
      <c r="C155" s="127" t="s">
        <v>106</v>
      </c>
      <c r="D155" s="127"/>
      <c r="E155" s="127"/>
      <c r="F155" s="127"/>
      <c r="G155" s="127"/>
      <c r="H155" s="127"/>
      <c r="I155" s="93"/>
      <c r="J155" s="14"/>
      <c r="K155" s="30"/>
    </row>
    <row r="156" spans="2:11" x14ac:dyDescent="0.15">
      <c r="B156" s="32"/>
      <c r="C156" s="127" t="s">
        <v>107</v>
      </c>
      <c r="D156" s="127"/>
      <c r="E156" s="127"/>
      <c r="F156" s="127"/>
      <c r="G156" s="127"/>
      <c r="H156" s="127"/>
      <c r="I156" s="93"/>
      <c r="J156" s="14"/>
      <c r="K156" s="30"/>
    </row>
    <row r="157" spans="2:11" x14ac:dyDescent="0.15">
      <c r="B157" s="32"/>
      <c r="C157" s="127" t="s">
        <v>108</v>
      </c>
      <c r="D157" s="127"/>
      <c r="E157" s="127"/>
      <c r="F157" s="127"/>
      <c r="G157" s="127"/>
      <c r="H157" s="127"/>
      <c r="I157" s="93"/>
      <c r="J157" s="14"/>
      <c r="K157" s="30"/>
    </row>
    <row r="158" spans="2:11" x14ac:dyDescent="0.15">
      <c r="B158" s="32"/>
      <c r="C158" s="127" t="s">
        <v>109</v>
      </c>
      <c r="D158" s="127"/>
      <c r="E158" s="127"/>
      <c r="F158" s="127"/>
      <c r="G158" s="127"/>
      <c r="H158" s="127"/>
      <c r="I158" s="93"/>
      <c r="J158" s="14"/>
      <c r="K158" s="30"/>
    </row>
    <row r="159" spans="2:11" x14ac:dyDescent="0.15">
      <c r="B159" s="32"/>
      <c r="C159" s="135" t="s">
        <v>110</v>
      </c>
      <c r="D159" s="136"/>
      <c r="E159" s="136"/>
      <c r="F159" s="136"/>
      <c r="G159" s="136"/>
      <c r="H159" s="137"/>
      <c r="I159" s="93"/>
      <c r="J159" s="14"/>
      <c r="K159" s="30"/>
    </row>
    <row r="160" spans="2:11" x14ac:dyDescent="0.15">
      <c r="B160" s="32"/>
      <c r="C160" s="14"/>
      <c r="D160" s="14"/>
      <c r="E160" s="14"/>
      <c r="F160" s="14"/>
      <c r="G160" s="14"/>
      <c r="H160" s="14"/>
      <c r="I160" s="14"/>
      <c r="J160" s="14"/>
      <c r="K160" s="30"/>
    </row>
    <row r="161" spans="2:11" x14ac:dyDescent="0.15">
      <c r="B161" s="32"/>
      <c r="C161" s="127" t="s">
        <v>111</v>
      </c>
      <c r="D161" s="127"/>
      <c r="E161" s="127"/>
      <c r="F161" s="127"/>
      <c r="G161" s="127"/>
      <c r="H161" s="127"/>
      <c r="I161" s="93"/>
      <c r="J161" s="14"/>
      <c r="K161" s="30"/>
    </row>
    <row r="162" spans="2:11" x14ac:dyDescent="0.15">
      <c r="B162" s="32"/>
      <c r="C162" s="14"/>
      <c r="D162" s="14"/>
      <c r="E162" s="14"/>
      <c r="F162" s="14"/>
      <c r="G162" s="14"/>
      <c r="H162" s="14"/>
      <c r="I162" s="14"/>
      <c r="J162" s="14"/>
      <c r="K162" s="30"/>
    </row>
    <row r="163" spans="2:11" x14ac:dyDescent="0.15">
      <c r="B163" s="32"/>
      <c r="C163" s="127" t="s">
        <v>112</v>
      </c>
      <c r="D163" s="127"/>
      <c r="E163" s="127"/>
      <c r="F163" s="127"/>
      <c r="G163" s="127"/>
      <c r="H163" s="127"/>
      <c r="I163" s="86" t="s">
        <v>15</v>
      </c>
      <c r="J163" s="14"/>
      <c r="K163" s="30"/>
    </row>
    <row r="164" spans="2:11" x14ac:dyDescent="0.15">
      <c r="B164" s="32"/>
      <c r="C164" s="127" t="s">
        <v>113</v>
      </c>
      <c r="D164" s="127"/>
      <c r="E164" s="127"/>
      <c r="F164" s="127"/>
      <c r="G164" s="127"/>
      <c r="H164" s="127"/>
      <c r="I164" s="93"/>
      <c r="J164" s="14"/>
      <c r="K164" s="30"/>
    </row>
    <row r="165" spans="2:11" x14ac:dyDescent="0.15">
      <c r="B165" s="32"/>
      <c r="C165" s="14"/>
      <c r="D165" s="14"/>
      <c r="E165" s="14"/>
      <c r="F165" s="14"/>
      <c r="G165" s="14"/>
      <c r="H165" s="14"/>
      <c r="I165" s="14"/>
      <c r="J165" s="14"/>
      <c r="K165" s="30"/>
    </row>
    <row r="166" spans="2:11" x14ac:dyDescent="0.15">
      <c r="B166" s="32"/>
      <c r="C166" s="127" t="s">
        <v>222</v>
      </c>
      <c r="D166" s="127"/>
      <c r="E166" s="127"/>
      <c r="F166" s="127"/>
      <c r="G166" s="127"/>
      <c r="H166" s="127"/>
      <c r="I166" s="93"/>
      <c r="J166" s="14"/>
      <c r="K166" s="30"/>
    </row>
    <row r="167" spans="2:11" x14ac:dyDescent="0.15">
      <c r="B167" s="32"/>
      <c r="C167" s="127" t="s">
        <v>223</v>
      </c>
      <c r="D167" s="127"/>
      <c r="E167" s="127"/>
      <c r="F167" s="127"/>
      <c r="G167" s="127"/>
      <c r="H167" s="127"/>
      <c r="I167" s="93"/>
      <c r="J167" s="14"/>
      <c r="K167" s="30"/>
    </row>
    <row r="168" spans="2:11" x14ac:dyDescent="0.15">
      <c r="B168" s="32"/>
      <c r="C168" s="14"/>
      <c r="D168" s="14"/>
      <c r="E168" s="14"/>
      <c r="F168" s="14"/>
      <c r="G168" s="14"/>
      <c r="H168" s="14"/>
      <c r="I168" s="14"/>
      <c r="J168" s="14"/>
      <c r="K168" s="30"/>
    </row>
    <row r="169" spans="2:11" x14ac:dyDescent="0.15">
      <c r="B169" s="32"/>
      <c r="C169" s="166" t="s">
        <v>114</v>
      </c>
      <c r="D169" s="167"/>
      <c r="E169" s="168"/>
      <c r="F169" s="14"/>
      <c r="G169" s="14"/>
      <c r="H169" s="14"/>
      <c r="I169" s="14"/>
      <c r="J169" s="14"/>
      <c r="K169" s="30"/>
    </row>
    <row r="170" spans="2:11" ht="14" x14ac:dyDescent="0.15">
      <c r="B170" s="32"/>
      <c r="C170" s="105" t="s">
        <v>115</v>
      </c>
      <c r="D170" s="52" t="s">
        <v>117</v>
      </c>
      <c r="E170" s="52" t="s">
        <v>116</v>
      </c>
      <c r="F170" s="14"/>
      <c r="G170" s="14"/>
      <c r="H170" s="14"/>
      <c r="I170" s="14"/>
      <c r="J170" s="14"/>
      <c r="K170" s="30"/>
    </row>
    <row r="171" spans="2:11" x14ac:dyDescent="0.15">
      <c r="B171" s="32"/>
      <c r="C171" s="105">
        <v>1</v>
      </c>
      <c r="D171" s="93"/>
      <c r="E171" s="91"/>
      <c r="F171" s="14"/>
      <c r="G171" s="14"/>
      <c r="H171" s="14"/>
      <c r="I171" s="14"/>
      <c r="J171" s="14"/>
      <c r="K171" s="30"/>
    </row>
    <row r="172" spans="2:11" x14ac:dyDescent="0.15">
      <c r="B172" s="32"/>
      <c r="C172" s="105">
        <v>2</v>
      </c>
      <c r="D172" s="93"/>
      <c r="E172" s="91"/>
      <c r="F172" s="14"/>
      <c r="G172" s="14"/>
      <c r="H172" s="14"/>
      <c r="I172" s="14"/>
      <c r="J172" s="14"/>
      <c r="K172" s="30"/>
    </row>
    <row r="173" spans="2:11" x14ac:dyDescent="0.15">
      <c r="B173" s="32"/>
      <c r="C173" s="105">
        <v>3</v>
      </c>
      <c r="D173" s="93"/>
      <c r="E173" s="91"/>
      <c r="F173" s="14"/>
      <c r="G173" s="14"/>
      <c r="H173" s="14"/>
      <c r="I173" s="14"/>
      <c r="J173" s="14"/>
      <c r="K173" s="30"/>
    </row>
    <row r="174" spans="2:11" x14ac:dyDescent="0.15">
      <c r="B174" s="32"/>
      <c r="C174" s="14" t="s">
        <v>118</v>
      </c>
      <c r="D174" s="14"/>
      <c r="E174" s="14"/>
      <c r="F174" s="14"/>
      <c r="G174" s="14"/>
      <c r="H174" s="14"/>
      <c r="I174" s="14"/>
      <c r="J174" s="14"/>
      <c r="K174" s="30"/>
    </row>
    <row r="175" spans="2:11" x14ac:dyDescent="0.15">
      <c r="B175" s="33"/>
      <c r="C175" s="34"/>
      <c r="D175" s="34"/>
      <c r="E175" s="34"/>
      <c r="F175" s="34"/>
      <c r="G175" s="34"/>
      <c r="H175" s="34"/>
      <c r="I175" s="34"/>
      <c r="J175" s="34"/>
      <c r="K175" s="35"/>
    </row>
    <row r="177" spans="2:11" x14ac:dyDescent="0.15">
      <c r="B177" s="172" t="s">
        <v>224</v>
      </c>
      <c r="C177" s="173"/>
      <c r="D177" s="173"/>
      <c r="E177" s="173"/>
      <c r="F177" s="173"/>
      <c r="G177" s="173"/>
      <c r="H177" s="173"/>
      <c r="I177" s="173"/>
      <c r="J177" s="174"/>
      <c r="K177" s="175"/>
    </row>
    <row r="178" spans="2:11" x14ac:dyDescent="0.15">
      <c r="B178" s="26"/>
      <c r="C178" s="27"/>
      <c r="D178" s="27"/>
      <c r="E178" s="27"/>
      <c r="F178" s="27"/>
      <c r="G178" s="27"/>
      <c r="H178" s="27"/>
      <c r="I178" s="27"/>
      <c r="J178" s="14"/>
      <c r="K178" s="28"/>
    </row>
    <row r="179" spans="2:11" ht="30" customHeight="1" x14ac:dyDescent="0.15">
      <c r="B179" s="32"/>
      <c r="C179" s="161"/>
      <c r="D179" s="161"/>
      <c r="E179" s="176" t="s">
        <v>119</v>
      </c>
      <c r="F179" s="177"/>
      <c r="G179" s="178" t="s">
        <v>120</v>
      </c>
      <c r="H179" s="178"/>
      <c r="I179" s="14"/>
      <c r="J179" s="14"/>
      <c r="K179" s="30"/>
    </row>
    <row r="180" spans="2:11" ht="31" customHeight="1" x14ac:dyDescent="0.15">
      <c r="B180" s="32"/>
      <c r="C180" s="125" t="s">
        <v>68</v>
      </c>
      <c r="D180" s="125"/>
      <c r="E180" s="110" t="s">
        <v>4</v>
      </c>
      <c r="F180" s="110" t="s">
        <v>249</v>
      </c>
      <c r="G180" s="110" t="s">
        <v>4</v>
      </c>
      <c r="H180" s="110" t="s">
        <v>249</v>
      </c>
      <c r="I180" s="14"/>
      <c r="J180" s="14"/>
      <c r="K180" s="30"/>
    </row>
    <row r="181" spans="2:11" x14ac:dyDescent="0.15">
      <c r="B181" s="32"/>
      <c r="C181" s="165" t="s">
        <v>3</v>
      </c>
      <c r="D181" s="165"/>
      <c r="E181" s="103"/>
      <c r="F181" s="93"/>
      <c r="G181" s="93"/>
      <c r="H181" s="93"/>
      <c r="I181" s="14"/>
      <c r="J181" s="14"/>
      <c r="K181" s="30"/>
    </row>
    <row r="182" spans="2:11" x14ac:dyDescent="0.15">
      <c r="B182" s="32"/>
      <c r="C182" s="165" t="s">
        <v>1</v>
      </c>
      <c r="D182" s="165"/>
      <c r="E182" s="103"/>
      <c r="F182" s="93"/>
      <c r="G182" s="93"/>
      <c r="H182" s="93"/>
      <c r="I182" s="14"/>
      <c r="J182" s="14"/>
      <c r="K182" s="30"/>
    </row>
    <row r="183" spans="2:11" x14ac:dyDescent="0.15">
      <c r="B183" s="32"/>
      <c r="C183" s="165" t="s">
        <v>2</v>
      </c>
      <c r="D183" s="165"/>
      <c r="E183" s="103"/>
      <c r="F183" s="93"/>
      <c r="G183" s="93"/>
      <c r="H183" s="93"/>
      <c r="I183" s="14"/>
      <c r="J183" s="14"/>
      <c r="K183" s="30"/>
    </row>
    <row r="184" spans="2:11" x14ac:dyDescent="0.15">
      <c r="B184" s="32"/>
      <c r="C184" s="165" t="s">
        <v>9</v>
      </c>
      <c r="D184" s="165"/>
      <c r="E184" s="103"/>
      <c r="F184" s="93"/>
      <c r="G184" s="93"/>
      <c r="H184" s="93"/>
      <c r="I184" s="14"/>
      <c r="J184" s="14"/>
      <c r="K184" s="30"/>
    </row>
    <row r="185" spans="2:11" x14ac:dyDescent="0.15">
      <c r="B185" s="32"/>
      <c r="C185" s="165" t="s">
        <v>7</v>
      </c>
      <c r="D185" s="165"/>
      <c r="E185" s="103"/>
      <c r="F185" s="93"/>
      <c r="G185" s="93"/>
      <c r="H185" s="93"/>
      <c r="I185" s="14"/>
      <c r="J185" s="14"/>
      <c r="K185" s="30"/>
    </row>
    <row r="186" spans="2:11" x14ac:dyDescent="0.15">
      <c r="B186" s="32"/>
      <c r="C186" s="165" t="s">
        <v>8</v>
      </c>
      <c r="D186" s="165"/>
      <c r="E186" s="103"/>
      <c r="F186" s="93"/>
      <c r="G186" s="93"/>
      <c r="H186" s="93"/>
      <c r="I186" s="14"/>
      <c r="J186" s="14"/>
      <c r="K186" s="30"/>
    </row>
    <row r="187" spans="2:11" x14ac:dyDescent="0.15">
      <c r="B187" s="32"/>
      <c r="C187" s="165" t="s">
        <v>219</v>
      </c>
      <c r="D187" s="165"/>
      <c r="E187" s="103"/>
      <c r="F187" s="93"/>
      <c r="G187" s="93"/>
      <c r="H187" s="93"/>
      <c r="I187" s="14"/>
      <c r="J187" s="14"/>
      <c r="K187" s="30"/>
    </row>
    <row r="188" spans="2:11" x14ac:dyDescent="0.15">
      <c r="B188" s="32"/>
      <c r="C188" s="165" t="s">
        <v>4</v>
      </c>
      <c r="D188" s="165"/>
      <c r="E188" s="89">
        <f>SUM(E181:E187)</f>
        <v>0</v>
      </c>
      <c r="F188" s="57">
        <f>SUM(F181:F187)</f>
        <v>0</v>
      </c>
      <c r="G188" s="57">
        <f>SUM(G181:G187)</f>
        <v>0</v>
      </c>
      <c r="H188" s="57">
        <f>SUM(H181:H187)</f>
        <v>0</v>
      </c>
      <c r="I188" s="14"/>
      <c r="J188" s="14"/>
      <c r="K188" s="30"/>
    </row>
    <row r="189" spans="2:11" x14ac:dyDescent="0.15">
      <c r="B189" s="32"/>
      <c r="C189" s="14"/>
      <c r="D189" s="14"/>
      <c r="E189" s="14"/>
      <c r="F189" s="14"/>
      <c r="G189" s="14"/>
      <c r="H189" s="14"/>
      <c r="I189" s="14"/>
      <c r="J189" s="14"/>
      <c r="K189" s="30"/>
    </row>
    <row r="190" spans="2:11" x14ac:dyDescent="0.15">
      <c r="B190" s="32"/>
      <c r="C190" s="146" t="s">
        <v>121</v>
      </c>
      <c r="D190" s="146"/>
      <c r="E190" s="146"/>
      <c r="F190" s="146"/>
      <c r="G190" s="146"/>
      <c r="H190" s="57">
        <f>+E188+G188</f>
        <v>0</v>
      </c>
      <c r="I190" s="14"/>
      <c r="J190" s="14"/>
      <c r="K190" s="30"/>
    </row>
    <row r="191" spans="2:11" x14ac:dyDescent="0.15">
      <c r="B191" s="32"/>
      <c r="C191" s="146" t="s">
        <v>122</v>
      </c>
      <c r="D191" s="146"/>
      <c r="E191" s="146"/>
      <c r="F191" s="146"/>
      <c r="G191" s="146"/>
      <c r="H191" s="58"/>
      <c r="I191" s="14"/>
      <c r="J191" s="14"/>
      <c r="K191" s="30"/>
    </row>
    <row r="192" spans="2:11" x14ac:dyDescent="0.15">
      <c r="B192" s="32"/>
      <c r="C192" s="146" t="s">
        <v>123</v>
      </c>
      <c r="D192" s="146"/>
      <c r="E192" s="146"/>
      <c r="F192" s="146"/>
      <c r="G192" s="146"/>
      <c r="H192" s="57">
        <f>F221</f>
        <v>0</v>
      </c>
      <c r="I192" s="14"/>
      <c r="J192" s="14"/>
      <c r="K192" s="30"/>
    </row>
    <row r="193" spans="2:11" x14ac:dyDescent="0.15">
      <c r="B193" s="33"/>
      <c r="C193" s="34"/>
      <c r="D193" s="34"/>
      <c r="E193" s="34"/>
      <c r="F193" s="34"/>
      <c r="G193" s="34"/>
      <c r="H193" s="34"/>
      <c r="I193" s="34"/>
      <c r="J193" s="34"/>
      <c r="K193" s="35"/>
    </row>
    <row r="194" spans="2:11" x14ac:dyDescent="0.15">
      <c r="B194" s="172" t="s">
        <v>225</v>
      </c>
      <c r="C194" s="173"/>
      <c r="D194" s="173"/>
      <c r="E194" s="173"/>
      <c r="F194" s="173"/>
      <c r="G194" s="173"/>
      <c r="H194" s="173"/>
      <c r="I194" s="173"/>
      <c r="J194" s="174"/>
      <c r="K194" s="175"/>
    </row>
    <row r="195" spans="2:11" x14ac:dyDescent="0.15">
      <c r="B195" s="26"/>
      <c r="C195" s="27"/>
      <c r="D195" s="27"/>
      <c r="E195" s="27"/>
      <c r="F195" s="27"/>
      <c r="G195" s="27"/>
      <c r="H195" s="27"/>
      <c r="I195" s="27"/>
      <c r="J195" s="14"/>
      <c r="K195" s="28"/>
    </row>
    <row r="196" spans="2:11" ht="31" customHeight="1" x14ac:dyDescent="0.15">
      <c r="B196" s="32"/>
      <c r="C196" s="161"/>
      <c r="D196" s="161"/>
      <c r="E196" s="176" t="s">
        <v>119</v>
      </c>
      <c r="F196" s="177"/>
      <c r="G196" s="178" t="s">
        <v>120</v>
      </c>
      <c r="H196" s="178"/>
      <c r="I196" s="14"/>
      <c r="J196" s="14"/>
      <c r="K196" s="30"/>
    </row>
    <row r="197" spans="2:11" ht="29" customHeight="1" x14ac:dyDescent="0.15">
      <c r="B197" s="32"/>
      <c r="C197" s="125" t="s">
        <v>68</v>
      </c>
      <c r="D197" s="125"/>
      <c r="E197" s="110" t="s">
        <v>4</v>
      </c>
      <c r="F197" s="110" t="s">
        <v>249</v>
      </c>
      <c r="G197" s="110" t="s">
        <v>4</v>
      </c>
      <c r="H197" s="110" t="s">
        <v>249</v>
      </c>
      <c r="I197" s="14"/>
      <c r="J197" s="14"/>
      <c r="K197" s="30"/>
    </row>
    <row r="198" spans="2:11" x14ac:dyDescent="0.15">
      <c r="B198" s="32"/>
      <c r="C198" s="165" t="s">
        <v>3</v>
      </c>
      <c r="D198" s="165"/>
      <c r="E198" s="103"/>
      <c r="F198" s="93"/>
      <c r="G198" s="93"/>
      <c r="H198" s="93"/>
      <c r="I198" s="14"/>
      <c r="J198" s="14"/>
      <c r="K198" s="30"/>
    </row>
    <row r="199" spans="2:11" x14ac:dyDescent="0.15">
      <c r="B199" s="32"/>
      <c r="C199" s="165" t="s">
        <v>1</v>
      </c>
      <c r="D199" s="165"/>
      <c r="E199" s="103"/>
      <c r="F199" s="93"/>
      <c r="G199" s="93"/>
      <c r="H199" s="93"/>
      <c r="I199" s="14"/>
      <c r="J199" s="14"/>
      <c r="K199" s="30"/>
    </row>
    <row r="200" spans="2:11" x14ac:dyDescent="0.15">
      <c r="B200" s="32"/>
      <c r="C200" s="165" t="s">
        <v>2</v>
      </c>
      <c r="D200" s="165"/>
      <c r="E200" s="103"/>
      <c r="F200" s="93"/>
      <c r="G200" s="93"/>
      <c r="H200" s="93"/>
      <c r="I200" s="14"/>
      <c r="J200" s="14"/>
      <c r="K200" s="30"/>
    </row>
    <row r="201" spans="2:11" x14ac:dyDescent="0.15">
      <c r="B201" s="32"/>
      <c r="C201" s="165" t="s">
        <v>9</v>
      </c>
      <c r="D201" s="165"/>
      <c r="E201" s="103"/>
      <c r="F201" s="93"/>
      <c r="G201" s="93"/>
      <c r="H201" s="93"/>
      <c r="I201" s="14"/>
      <c r="J201" s="14"/>
      <c r="K201" s="30"/>
    </row>
    <row r="202" spans="2:11" x14ac:dyDescent="0.15">
      <c r="B202" s="32"/>
      <c r="C202" s="165" t="s">
        <v>7</v>
      </c>
      <c r="D202" s="165"/>
      <c r="E202" s="103"/>
      <c r="F202" s="93"/>
      <c r="G202" s="93"/>
      <c r="H202" s="93"/>
      <c r="I202" s="14"/>
      <c r="J202" s="14"/>
      <c r="K202" s="30"/>
    </row>
    <row r="203" spans="2:11" x14ac:dyDescent="0.15">
      <c r="B203" s="32"/>
      <c r="C203" s="165" t="s">
        <v>8</v>
      </c>
      <c r="D203" s="165"/>
      <c r="E203" s="103"/>
      <c r="F203" s="93"/>
      <c r="G203" s="93"/>
      <c r="H203" s="93"/>
      <c r="I203" s="14"/>
      <c r="J203" s="14"/>
      <c r="K203" s="30"/>
    </row>
    <row r="204" spans="2:11" x14ac:dyDescent="0.15">
      <c r="B204" s="32"/>
      <c r="C204" s="165" t="s">
        <v>219</v>
      </c>
      <c r="D204" s="165"/>
      <c r="E204" s="103"/>
      <c r="F204" s="93"/>
      <c r="G204" s="93"/>
      <c r="H204" s="93"/>
      <c r="I204" s="14"/>
      <c r="J204" s="14"/>
      <c r="K204" s="30"/>
    </row>
    <row r="205" spans="2:11" x14ac:dyDescent="0.15">
      <c r="B205" s="32"/>
      <c r="C205" s="165" t="s">
        <v>4</v>
      </c>
      <c r="D205" s="165"/>
      <c r="E205" s="89">
        <f>SUM(E198:E204)</f>
        <v>0</v>
      </c>
      <c r="F205" s="57">
        <f>SUM(F198:F204)</f>
        <v>0</v>
      </c>
      <c r="G205" s="57">
        <f>SUM(G198:G204)</f>
        <v>0</v>
      </c>
      <c r="H205" s="57">
        <f>SUM(H198:H204)</f>
        <v>0</v>
      </c>
      <c r="I205" s="14"/>
      <c r="J205" s="14"/>
      <c r="K205" s="30"/>
    </row>
    <row r="206" spans="2:11" x14ac:dyDescent="0.15">
      <c r="B206" s="32"/>
      <c r="C206" s="14"/>
      <c r="D206" s="14"/>
      <c r="E206" s="14"/>
      <c r="F206" s="14"/>
      <c r="G206" s="14"/>
      <c r="H206" s="14"/>
      <c r="I206" s="14"/>
      <c r="J206" s="14"/>
      <c r="K206" s="30"/>
    </row>
    <row r="207" spans="2:11" x14ac:dyDescent="0.15">
      <c r="B207" s="32"/>
      <c r="C207" s="146" t="s">
        <v>121</v>
      </c>
      <c r="D207" s="146"/>
      <c r="E207" s="146"/>
      <c r="F207" s="146"/>
      <c r="G207" s="146"/>
      <c r="H207" s="57">
        <f>E205+G205</f>
        <v>0</v>
      </c>
      <c r="I207" s="14"/>
      <c r="J207" s="14"/>
      <c r="K207" s="30"/>
    </row>
    <row r="208" spans="2:11" x14ac:dyDescent="0.15">
      <c r="B208" s="32"/>
      <c r="C208" s="146" t="s">
        <v>122</v>
      </c>
      <c r="D208" s="146"/>
      <c r="E208" s="146"/>
      <c r="F208" s="146"/>
      <c r="G208" s="146"/>
      <c r="H208" s="58"/>
      <c r="I208" s="14"/>
      <c r="J208" s="14"/>
      <c r="K208" s="30"/>
    </row>
    <row r="209" spans="2:11" x14ac:dyDescent="0.15">
      <c r="B209" s="32"/>
      <c r="C209" s="146" t="s">
        <v>123</v>
      </c>
      <c r="D209" s="146"/>
      <c r="E209" s="146"/>
      <c r="F209" s="146"/>
      <c r="G209" s="146"/>
      <c r="H209" s="57">
        <f>G221</f>
        <v>0</v>
      </c>
      <c r="I209" s="14"/>
      <c r="J209" s="14"/>
      <c r="K209" s="30"/>
    </row>
    <row r="210" spans="2:11" x14ac:dyDescent="0.15">
      <c r="B210" s="33"/>
      <c r="C210" s="34"/>
      <c r="D210" s="34"/>
      <c r="E210" s="34"/>
      <c r="F210" s="34"/>
      <c r="G210" s="34"/>
      <c r="H210" s="34"/>
      <c r="I210" s="34"/>
      <c r="J210" s="34"/>
      <c r="K210" s="35"/>
    </row>
    <row r="211" spans="2:11" x14ac:dyDescent="0.15">
      <c r="B211" s="172" t="s">
        <v>124</v>
      </c>
      <c r="C211" s="173"/>
      <c r="D211" s="173"/>
      <c r="E211" s="173"/>
      <c r="F211" s="173"/>
      <c r="G211" s="173"/>
      <c r="H211" s="173"/>
      <c r="I211" s="173"/>
      <c r="J211" s="174"/>
      <c r="K211" s="175"/>
    </row>
    <row r="212" spans="2:11" x14ac:dyDescent="0.15">
      <c r="B212" s="26"/>
      <c r="C212" s="27"/>
      <c r="D212" s="27"/>
      <c r="E212" s="27"/>
      <c r="F212" s="27"/>
      <c r="G212" s="27"/>
      <c r="H212" s="27"/>
      <c r="I212" s="27"/>
      <c r="J212" s="27"/>
      <c r="K212" s="28"/>
    </row>
    <row r="213" spans="2:11" ht="13" customHeight="1" x14ac:dyDescent="0.15">
      <c r="B213" s="32"/>
      <c r="C213" s="106"/>
      <c r="D213" s="106"/>
      <c r="E213" s="106"/>
      <c r="F213" s="107" t="s">
        <v>212</v>
      </c>
      <c r="G213" s="107" t="s">
        <v>213</v>
      </c>
      <c r="H213" s="106"/>
      <c r="I213" s="106"/>
      <c r="J213" s="106"/>
      <c r="K213" s="30"/>
    </row>
    <row r="214" spans="2:11" x14ac:dyDescent="0.15">
      <c r="B214" s="32"/>
      <c r="C214" s="135" t="s">
        <v>125</v>
      </c>
      <c r="D214" s="136"/>
      <c r="E214" s="137"/>
      <c r="F214" s="94"/>
      <c r="G214" s="94"/>
      <c r="H214" s="106"/>
      <c r="I214" s="106"/>
      <c r="J214" s="106"/>
      <c r="K214" s="30"/>
    </row>
    <row r="215" spans="2:11" x14ac:dyDescent="0.15">
      <c r="B215" s="32"/>
      <c r="C215" s="135" t="s">
        <v>126</v>
      </c>
      <c r="D215" s="136"/>
      <c r="E215" s="137"/>
      <c r="F215" s="94"/>
      <c r="G215" s="94"/>
      <c r="H215" s="106"/>
      <c r="I215" s="106"/>
      <c r="J215" s="106"/>
      <c r="K215" s="30"/>
    </row>
    <row r="216" spans="2:11" x14ac:dyDescent="0.15">
      <c r="B216" s="32"/>
      <c r="C216" s="135" t="s">
        <v>127</v>
      </c>
      <c r="D216" s="136"/>
      <c r="E216" s="137"/>
      <c r="F216" s="98">
        <v>0</v>
      </c>
      <c r="G216" s="98">
        <v>0</v>
      </c>
      <c r="H216" s="106"/>
      <c r="I216" s="106"/>
      <c r="J216" s="106"/>
      <c r="K216" s="30"/>
    </row>
    <row r="217" spans="2:11" x14ac:dyDescent="0.15">
      <c r="B217" s="32"/>
      <c r="C217" s="135" t="s">
        <v>128</v>
      </c>
      <c r="D217" s="136"/>
      <c r="E217" s="137"/>
      <c r="F217" s="98">
        <v>0</v>
      </c>
      <c r="G217" s="98">
        <v>0</v>
      </c>
      <c r="H217" s="106"/>
      <c r="I217" s="106"/>
      <c r="J217" s="106"/>
      <c r="K217" s="30"/>
    </row>
    <row r="218" spans="2:11" x14ac:dyDescent="0.15">
      <c r="B218" s="32"/>
      <c r="C218" s="135" t="s">
        <v>129</v>
      </c>
      <c r="D218" s="136"/>
      <c r="E218" s="137"/>
      <c r="F218" s="93"/>
      <c r="G218" s="93"/>
      <c r="H218" s="106"/>
      <c r="I218" s="106"/>
      <c r="J218" s="106"/>
      <c r="K218" s="30"/>
    </row>
    <row r="219" spans="2:11" x14ac:dyDescent="0.15">
      <c r="B219" s="32"/>
      <c r="C219" s="135" t="s">
        <v>130</v>
      </c>
      <c r="D219" s="136"/>
      <c r="E219" s="137"/>
      <c r="F219" s="93"/>
      <c r="G219" s="93"/>
      <c r="H219" s="106"/>
      <c r="I219" s="106"/>
      <c r="J219" s="106"/>
      <c r="K219" s="30"/>
    </row>
    <row r="220" spans="2:11" x14ac:dyDescent="0.15">
      <c r="B220" s="32"/>
      <c r="C220" s="135" t="s">
        <v>131</v>
      </c>
      <c r="D220" s="136"/>
      <c r="E220" s="137"/>
      <c r="F220" s="57">
        <f>IF(F216+F145-F219&gt;0,F216+F145-F219,0)</f>
        <v>0</v>
      </c>
      <c r="G220" s="57">
        <f>IF(G216+F146-G219&gt;0,G216+F146-G219,0)</f>
        <v>0</v>
      </c>
      <c r="H220" s="106"/>
      <c r="I220" s="106"/>
      <c r="J220" s="106"/>
      <c r="K220" s="30"/>
    </row>
    <row r="221" spans="2:11" x14ac:dyDescent="0.15">
      <c r="B221" s="32"/>
      <c r="C221" s="135" t="s">
        <v>132</v>
      </c>
      <c r="D221" s="136"/>
      <c r="E221" s="137"/>
      <c r="F221" s="57">
        <f>F217+F218-H190</f>
        <v>0</v>
      </c>
      <c r="G221" s="57">
        <f>G217+G218-H207</f>
        <v>0</v>
      </c>
      <c r="H221" s="106"/>
      <c r="I221" s="106"/>
      <c r="J221" s="106"/>
      <c r="K221" s="30"/>
    </row>
    <row r="222" spans="2:11" x14ac:dyDescent="0.15">
      <c r="B222" s="32"/>
      <c r="C222" s="14"/>
      <c r="D222" s="14"/>
      <c r="E222" s="14"/>
      <c r="F222" s="14"/>
      <c r="G222" s="14"/>
      <c r="H222" s="14"/>
      <c r="I222" s="14"/>
      <c r="J222" s="14"/>
      <c r="K222" s="30"/>
    </row>
    <row r="223" spans="2:11" x14ac:dyDescent="0.15">
      <c r="B223" s="172" t="s">
        <v>133</v>
      </c>
      <c r="C223" s="173"/>
      <c r="D223" s="173"/>
      <c r="E223" s="173"/>
      <c r="F223" s="173"/>
      <c r="G223" s="173"/>
      <c r="H223" s="173"/>
      <c r="I223" s="173"/>
      <c r="J223" s="174"/>
      <c r="K223" s="175"/>
    </row>
    <row r="224" spans="2:11" x14ac:dyDescent="0.15">
      <c r="B224" s="26"/>
      <c r="C224" s="27"/>
      <c r="D224" s="27"/>
      <c r="E224" s="27"/>
      <c r="F224" s="27"/>
      <c r="G224" s="27"/>
      <c r="H224" s="27"/>
      <c r="I224" s="27"/>
      <c r="J224" s="14"/>
      <c r="K224" s="28"/>
    </row>
    <row r="225" spans="2:11" ht="14" x14ac:dyDescent="0.15">
      <c r="B225" s="32"/>
      <c r="C225" s="95" t="s">
        <v>134</v>
      </c>
      <c r="D225" s="96"/>
      <c r="E225" s="96"/>
      <c r="F225" s="52" t="s">
        <v>13</v>
      </c>
      <c r="G225" s="52" t="s">
        <v>14</v>
      </c>
      <c r="H225" s="52" t="s">
        <v>226</v>
      </c>
      <c r="I225" s="15"/>
      <c r="J225" s="15"/>
      <c r="K225" s="30"/>
    </row>
    <row r="226" spans="2:11" x14ac:dyDescent="0.15">
      <c r="B226" s="32"/>
      <c r="C226" s="151" t="s">
        <v>135</v>
      </c>
      <c r="D226" s="152"/>
      <c r="E226" s="152"/>
      <c r="F226" s="115" t="s">
        <v>10</v>
      </c>
      <c r="G226" s="115" t="s">
        <v>10</v>
      </c>
      <c r="H226" s="115" t="s">
        <v>10</v>
      </c>
      <c r="I226" s="15"/>
      <c r="J226" s="15"/>
      <c r="K226" s="30"/>
    </row>
    <row r="227" spans="2:11" x14ac:dyDescent="0.15">
      <c r="B227" s="32"/>
      <c r="C227" s="106"/>
      <c r="D227" s="106"/>
      <c r="E227" s="106"/>
      <c r="F227" s="106"/>
      <c r="G227" s="106"/>
      <c r="H227" s="106"/>
      <c r="I227" s="106"/>
      <c r="J227" s="106"/>
      <c r="K227" s="30"/>
    </row>
    <row r="228" spans="2:11" ht="14" x14ac:dyDescent="0.15">
      <c r="B228" s="32"/>
      <c r="C228" s="128" t="s">
        <v>136</v>
      </c>
      <c r="D228" s="129"/>
      <c r="E228" s="130"/>
      <c r="F228" s="52" t="s">
        <v>137</v>
      </c>
      <c r="G228" s="52" t="s">
        <v>6</v>
      </c>
      <c r="H228" s="52" t="s">
        <v>211</v>
      </c>
      <c r="I228" s="106"/>
      <c r="J228" s="106"/>
      <c r="K228" s="30"/>
    </row>
    <row r="229" spans="2:11" x14ac:dyDescent="0.15">
      <c r="B229" s="32"/>
      <c r="C229" s="135" t="s">
        <v>138</v>
      </c>
      <c r="D229" s="136"/>
      <c r="E229" s="137"/>
      <c r="F229" s="94"/>
      <c r="G229" s="94"/>
      <c r="H229" s="94"/>
      <c r="I229" s="106"/>
      <c r="J229" s="106"/>
      <c r="K229" s="30"/>
    </row>
    <row r="230" spans="2:11" x14ac:dyDescent="0.15">
      <c r="B230" s="32"/>
      <c r="C230" s="135" t="s">
        <v>139</v>
      </c>
      <c r="D230" s="136"/>
      <c r="E230" s="137"/>
      <c r="F230" s="94"/>
      <c r="G230" s="94"/>
      <c r="H230" s="94"/>
      <c r="I230" s="106"/>
      <c r="J230" s="106"/>
      <c r="K230" s="30"/>
    </row>
    <row r="231" spans="2:11" x14ac:dyDescent="0.15">
      <c r="B231" s="32"/>
      <c r="C231" s="135" t="s">
        <v>140</v>
      </c>
      <c r="D231" s="136"/>
      <c r="E231" s="137"/>
      <c r="F231" s="94"/>
      <c r="G231" s="94"/>
      <c r="H231" s="94"/>
      <c r="I231" s="106"/>
      <c r="J231" s="106"/>
      <c r="K231" s="30"/>
    </row>
    <row r="232" spans="2:11" x14ac:dyDescent="0.15">
      <c r="B232" s="33"/>
      <c r="C232" s="34"/>
      <c r="D232" s="34"/>
      <c r="E232" s="34"/>
      <c r="F232" s="34"/>
      <c r="G232" s="34"/>
      <c r="H232" s="34"/>
      <c r="I232" s="34"/>
      <c r="J232" s="34"/>
      <c r="K232" s="35"/>
    </row>
    <row r="233" spans="2:11" x14ac:dyDescent="0.15">
      <c r="B233" s="172" t="s">
        <v>141</v>
      </c>
      <c r="C233" s="173"/>
      <c r="D233" s="173"/>
      <c r="E233" s="173"/>
      <c r="F233" s="173"/>
      <c r="G233" s="173"/>
      <c r="H233" s="173"/>
      <c r="I233" s="173"/>
      <c r="J233" s="174"/>
      <c r="K233" s="175"/>
    </row>
    <row r="234" spans="2:11" x14ac:dyDescent="0.15">
      <c r="B234" s="26"/>
      <c r="C234" s="27"/>
      <c r="D234" s="27"/>
      <c r="E234" s="27"/>
      <c r="F234" s="27"/>
      <c r="G234" s="27"/>
      <c r="H234" s="27"/>
      <c r="I234" s="27"/>
      <c r="J234" s="14"/>
      <c r="K234" s="28"/>
    </row>
    <row r="235" spans="2:11" x14ac:dyDescent="0.15">
      <c r="B235" s="32"/>
      <c r="C235" s="149" t="s">
        <v>142</v>
      </c>
      <c r="D235" s="180"/>
      <c r="E235" s="180"/>
      <c r="F235" s="150"/>
      <c r="G235" s="106"/>
      <c r="H235" s="106"/>
      <c r="I235" s="106"/>
      <c r="J235" s="106"/>
      <c r="K235" s="30"/>
    </row>
    <row r="236" spans="2:11" x14ac:dyDescent="0.15">
      <c r="B236" s="32"/>
      <c r="C236" s="135" t="s">
        <v>143</v>
      </c>
      <c r="D236" s="136"/>
      <c r="E236" s="137"/>
      <c r="F236" s="93"/>
      <c r="G236" s="106"/>
      <c r="H236" s="106"/>
      <c r="I236" s="106"/>
      <c r="J236" s="106"/>
      <c r="K236" s="30"/>
    </row>
    <row r="237" spans="2:11" x14ac:dyDescent="0.15">
      <c r="B237" s="32"/>
      <c r="C237" s="135" t="s">
        <v>144</v>
      </c>
      <c r="D237" s="136"/>
      <c r="E237" s="137"/>
      <c r="F237" s="93"/>
      <c r="G237" s="106"/>
      <c r="H237" s="106"/>
      <c r="I237" s="106"/>
      <c r="J237" s="106"/>
      <c r="K237" s="30"/>
    </row>
    <row r="238" spans="2:11" x14ac:dyDescent="0.15">
      <c r="B238" s="33"/>
      <c r="C238" s="34"/>
      <c r="D238" s="34"/>
      <c r="E238" s="34"/>
      <c r="F238" s="34"/>
      <c r="G238" s="34"/>
      <c r="H238" s="34"/>
      <c r="I238" s="34"/>
      <c r="J238" s="34"/>
      <c r="K238" s="35"/>
    </row>
    <row r="240" spans="2:11" x14ac:dyDescent="0.15">
      <c r="B240" s="172" t="s">
        <v>146</v>
      </c>
      <c r="C240" s="173"/>
      <c r="D240" s="173"/>
      <c r="E240" s="173"/>
      <c r="F240" s="173"/>
      <c r="G240" s="173"/>
      <c r="H240" s="173"/>
      <c r="I240" s="173"/>
      <c r="J240" s="174"/>
      <c r="K240" s="175"/>
    </row>
    <row r="241" spans="2:12" x14ac:dyDescent="0.15">
      <c r="B241" s="42"/>
      <c r="C241" s="76"/>
      <c r="D241" s="76"/>
      <c r="E241" s="76"/>
      <c r="F241" s="76"/>
      <c r="G241" s="76"/>
      <c r="H241" s="76"/>
      <c r="I241" s="76"/>
      <c r="J241" s="76"/>
      <c r="K241" s="43"/>
    </row>
    <row r="242" spans="2:12" x14ac:dyDescent="0.15">
      <c r="B242" s="32"/>
      <c r="C242" s="179" t="s">
        <v>147</v>
      </c>
      <c r="D242" s="179"/>
      <c r="E242" s="179"/>
      <c r="F242" s="179"/>
      <c r="G242" s="179"/>
      <c r="H242" s="179"/>
      <c r="I242" s="179"/>
      <c r="J242" s="16"/>
      <c r="K242" s="30"/>
    </row>
    <row r="243" spans="2:12" x14ac:dyDescent="0.15">
      <c r="B243" s="32"/>
      <c r="C243" s="73" t="s">
        <v>227</v>
      </c>
      <c r="D243" s="73"/>
      <c r="E243" s="73"/>
      <c r="F243" s="73"/>
      <c r="G243" s="73"/>
      <c r="H243" s="73"/>
      <c r="I243" s="75"/>
      <c r="J243" s="16"/>
      <c r="K243" s="44"/>
    </row>
    <row r="244" spans="2:12" x14ac:dyDescent="0.15">
      <c r="B244" s="32"/>
      <c r="C244" s="45"/>
      <c r="D244" s="45" t="s">
        <v>148</v>
      </c>
      <c r="E244" s="45"/>
      <c r="F244" s="45"/>
      <c r="G244" s="45"/>
      <c r="H244" s="45"/>
      <c r="I244" s="17"/>
      <c r="J244" s="16"/>
      <c r="K244" s="46"/>
    </row>
    <row r="245" spans="2:12" x14ac:dyDescent="0.15">
      <c r="B245" s="32"/>
      <c r="C245" s="45"/>
      <c r="D245" s="22" t="s">
        <v>149</v>
      </c>
      <c r="E245" s="22"/>
      <c r="F245" s="22"/>
      <c r="G245" s="22"/>
      <c r="H245" s="22"/>
      <c r="I245" s="17"/>
      <c r="J245" s="16"/>
      <c r="K245" s="46"/>
    </row>
    <row r="246" spans="2:12" x14ac:dyDescent="0.15">
      <c r="B246" s="32"/>
      <c r="C246" s="18" t="s">
        <v>228</v>
      </c>
      <c r="D246" s="18"/>
      <c r="E246" s="18"/>
      <c r="F246" s="18"/>
      <c r="G246" s="18"/>
      <c r="H246" s="18"/>
      <c r="I246" s="19">
        <f>+I244-I245</f>
        <v>0</v>
      </c>
      <c r="J246" s="16"/>
      <c r="K246" s="47"/>
    </row>
    <row r="247" spans="2:12" x14ac:dyDescent="0.15">
      <c r="B247" s="32"/>
      <c r="C247" s="59" t="s">
        <v>229</v>
      </c>
      <c r="D247" s="59"/>
      <c r="E247" s="59"/>
      <c r="F247" s="59"/>
      <c r="G247" s="59"/>
      <c r="H247" s="59"/>
      <c r="I247" s="60"/>
      <c r="J247" s="16"/>
      <c r="K247" s="47"/>
    </row>
    <row r="248" spans="2:12" x14ac:dyDescent="0.15">
      <c r="B248" s="32"/>
      <c r="C248" s="45"/>
      <c r="D248" s="22" t="s">
        <v>150</v>
      </c>
      <c r="E248" s="22"/>
      <c r="F248" s="22"/>
      <c r="G248" s="22"/>
      <c r="H248" s="22"/>
      <c r="I248" s="17"/>
      <c r="J248" s="16"/>
      <c r="K248" s="46"/>
    </row>
    <row r="249" spans="2:12" x14ac:dyDescent="0.15">
      <c r="B249" s="32"/>
      <c r="C249" s="45"/>
      <c r="D249" s="22" t="s">
        <v>151</v>
      </c>
      <c r="E249" s="22"/>
      <c r="F249" s="22"/>
      <c r="G249" s="22"/>
      <c r="H249" s="22"/>
      <c r="I249" s="17"/>
      <c r="J249" s="16"/>
      <c r="K249" s="46"/>
      <c r="L249" s="20"/>
    </row>
    <row r="250" spans="2:12" x14ac:dyDescent="0.15">
      <c r="B250" s="32"/>
      <c r="C250" s="45"/>
      <c r="D250" s="22" t="s">
        <v>152</v>
      </c>
      <c r="E250" s="22"/>
      <c r="F250" s="22"/>
      <c r="G250" s="22"/>
      <c r="H250" s="22"/>
      <c r="I250" s="17"/>
      <c r="J250" s="100"/>
      <c r="K250" s="46"/>
    </row>
    <row r="251" spans="2:12" x14ac:dyDescent="0.15">
      <c r="B251" s="32"/>
      <c r="C251" s="45"/>
      <c r="D251" s="22" t="s">
        <v>153</v>
      </c>
      <c r="E251" s="22"/>
      <c r="F251" s="22"/>
      <c r="G251" s="22"/>
      <c r="H251" s="22"/>
      <c r="I251" s="17"/>
      <c r="J251" s="100"/>
      <c r="K251" s="46"/>
    </row>
    <row r="252" spans="2:12" x14ac:dyDescent="0.15">
      <c r="B252" s="32"/>
      <c r="C252" s="45"/>
      <c r="D252" s="22" t="s">
        <v>154</v>
      </c>
      <c r="E252" s="22"/>
      <c r="F252" s="22"/>
      <c r="G252" s="22"/>
      <c r="H252" s="22"/>
      <c r="I252" s="17"/>
      <c r="J252" s="100"/>
      <c r="K252" s="46"/>
    </row>
    <row r="253" spans="2:12" x14ac:dyDescent="0.15">
      <c r="B253" s="32"/>
      <c r="C253" s="45"/>
      <c r="D253" s="22" t="s">
        <v>155</v>
      </c>
      <c r="E253" s="22"/>
      <c r="F253" s="22"/>
      <c r="G253" s="22"/>
      <c r="H253" s="22"/>
      <c r="I253" s="17"/>
      <c r="J253" s="100"/>
      <c r="K253" s="46"/>
    </row>
    <row r="254" spans="2:12" x14ac:dyDescent="0.15">
      <c r="B254" s="32"/>
      <c r="C254" s="45"/>
      <c r="D254" s="22" t="s">
        <v>156</v>
      </c>
      <c r="E254" s="22"/>
      <c r="F254" s="22"/>
      <c r="G254" s="22"/>
      <c r="H254" s="22"/>
      <c r="I254" s="17"/>
      <c r="J254" s="100"/>
      <c r="K254" s="46"/>
    </row>
    <row r="255" spans="2:12" x14ac:dyDescent="0.15">
      <c r="B255" s="32"/>
      <c r="C255" s="18" t="s">
        <v>230</v>
      </c>
      <c r="D255" s="48"/>
      <c r="E255" s="48"/>
      <c r="F255" s="48"/>
      <c r="G255" s="48"/>
      <c r="H255" s="48"/>
      <c r="I255" s="19">
        <f>SUM(I248:I254)</f>
        <v>0</v>
      </c>
      <c r="J255" s="100"/>
      <c r="K255" s="47"/>
    </row>
    <row r="256" spans="2:12" x14ac:dyDescent="0.15">
      <c r="B256" s="32"/>
      <c r="C256" s="61" t="s">
        <v>231</v>
      </c>
      <c r="D256" s="61"/>
      <c r="E256" s="61"/>
      <c r="F256" s="61"/>
      <c r="G256" s="61"/>
      <c r="H256" s="61"/>
      <c r="I256" s="62">
        <f>+I246-I255</f>
        <v>0</v>
      </c>
      <c r="J256" s="16"/>
      <c r="K256" s="47"/>
    </row>
    <row r="257" spans="2:13" x14ac:dyDescent="0.15">
      <c r="B257" s="32"/>
      <c r="C257" s="73" t="s">
        <v>232</v>
      </c>
      <c r="D257" s="73"/>
      <c r="E257" s="63"/>
      <c r="F257" s="63"/>
      <c r="G257" s="63"/>
      <c r="H257" s="63"/>
      <c r="I257" s="64"/>
      <c r="J257" s="16"/>
      <c r="K257" s="44"/>
    </row>
    <row r="258" spans="2:13" x14ac:dyDescent="0.15">
      <c r="B258" s="32"/>
      <c r="C258" s="45"/>
      <c r="D258" s="45" t="s">
        <v>148</v>
      </c>
      <c r="E258" s="45"/>
      <c r="F258" s="45"/>
      <c r="G258" s="45"/>
      <c r="H258" s="45"/>
      <c r="I258" s="17"/>
      <c r="J258" s="16"/>
      <c r="K258" s="46"/>
    </row>
    <row r="259" spans="2:13" x14ac:dyDescent="0.15">
      <c r="B259" s="32"/>
      <c r="C259" s="45"/>
      <c r="D259" s="22" t="s">
        <v>149</v>
      </c>
      <c r="E259" s="22"/>
      <c r="F259" s="22"/>
      <c r="G259" s="22"/>
      <c r="H259" s="22"/>
      <c r="I259" s="17"/>
      <c r="J259" s="16"/>
      <c r="K259" s="46"/>
    </row>
    <row r="260" spans="2:13" x14ac:dyDescent="0.15">
      <c r="B260" s="32"/>
      <c r="C260" s="18" t="s">
        <v>233</v>
      </c>
      <c r="D260" s="18"/>
      <c r="E260" s="18"/>
      <c r="F260" s="18"/>
      <c r="G260" s="18"/>
      <c r="H260" s="18"/>
      <c r="I260" s="19">
        <f>+I258-I259</f>
        <v>0</v>
      </c>
      <c r="J260" s="16"/>
      <c r="K260" s="47"/>
    </row>
    <row r="261" spans="2:13" x14ac:dyDescent="0.15">
      <c r="B261" s="32"/>
      <c r="C261" s="59" t="s">
        <v>234</v>
      </c>
      <c r="D261" s="59"/>
      <c r="E261" s="59"/>
      <c r="F261" s="59"/>
      <c r="G261" s="59"/>
      <c r="H261" s="59"/>
      <c r="I261" s="60"/>
      <c r="J261" s="16"/>
      <c r="K261" s="47"/>
    </row>
    <row r="262" spans="2:13" x14ac:dyDescent="0.15">
      <c r="B262" s="32"/>
      <c r="C262" s="45"/>
      <c r="D262" s="22" t="s">
        <v>150</v>
      </c>
      <c r="E262" s="22"/>
      <c r="F262" s="22"/>
      <c r="G262" s="22"/>
      <c r="H262" s="22"/>
      <c r="I262" s="17"/>
      <c r="J262" s="16"/>
      <c r="K262" s="46"/>
    </row>
    <row r="263" spans="2:13" x14ac:dyDescent="0.15">
      <c r="B263" s="32"/>
      <c r="C263" s="45"/>
      <c r="D263" s="22" t="s">
        <v>151</v>
      </c>
      <c r="E263" s="22"/>
      <c r="F263" s="22"/>
      <c r="G263" s="22"/>
      <c r="H263" s="22"/>
      <c r="I263" s="17"/>
      <c r="J263" s="101"/>
      <c r="K263" s="46"/>
      <c r="L263" s="20"/>
      <c r="M263" s="102"/>
    </row>
    <row r="264" spans="2:13" x14ac:dyDescent="0.15">
      <c r="B264" s="32"/>
      <c r="C264" s="45"/>
      <c r="D264" s="22" t="s">
        <v>152</v>
      </c>
      <c r="E264" s="22"/>
      <c r="F264" s="22"/>
      <c r="G264" s="22"/>
      <c r="H264" s="22"/>
      <c r="I264" s="17"/>
      <c r="J264" s="16"/>
      <c r="K264" s="46"/>
    </row>
    <row r="265" spans="2:13" x14ac:dyDescent="0.15">
      <c r="B265" s="32"/>
      <c r="C265" s="45"/>
      <c r="D265" s="22" t="s">
        <v>153</v>
      </c>
      <c r="E265" s="22"/>
      <c r="F265" s="22"/>
      <c r="G265" s="22"/>
      <c r="H265" s="22"/>
      <c r="I265" s="17"/>
      <c r="J265" s="101"/>
      <c r="K265" s="46"/>
    </row>
    <row r="266" spans="2:13" x14ac:dyDescent="0.15">
      <c r="B266" s="32"/>
      <c r="C266" s="45"/>
      <c r="D266" s="22" t="s">
        <v>154</v>
      </c>
      <c r="E266" s="22"/>
      <c r="F266" s="22"/>
      <c r="G266" s="22"/>
      <c r="H266" s="22"/>
      <c r="I266" s="17"/>
      <c r="J266" s="101"/>
      <c r="K266" s="46"/>
    </row>
    <row r="267" spans="2:13" x14ac:dyDescent="0.15">
      <c r="B267" s="32"/>
      <c r="C267" s="45"/>
      <c r="D267" s="22" t="s">
        <v>155</v>
      </c>
      <c r="E267" s="22"/>
      <c r="F267" s="22"/>
      <c r="G267" s="22"/>
      <c r="H267" s="22"/>
      <c r="I267" s="17"/>
      <c r="J267" s="101"/>
      <c r="K267" s="46"/>
    </row>
    <row r="268" spans="2:13" x14ac:dyDescent="0.15">
      <c r="B268" s="32"/>
      <c r="C268" s="45"/>
      <c r="D268" s="22" t="s">
        <v>156</v>
      </c>
      <c r="E268" s="22"/>
      <c r="F268" s="22"/>
      <c r="G268" s="22"/>
      <c r="H268" s="22"/>
      <c r="I268" s="17"/>
      <c r="J268" s="104"/>
      <c r="K268" s="46"/>
    </row>
    <row r="269" spans="2:13" x14ac:dyDescent="0.15">
      <c r="B269" s="32"/>
      <c r="C269" s="18" t="s">
        <v>235</v>
      </c>
      <c r="D269" s="48"/>
      <c r="E269" s="48"/>
      <c r="F269" s="48"/>
      <c r="G269" s="48"/>
      <c r="H269" s="48"/>
      <c r="I269" s="19">
        <f>SUM(I262:I268)</f>
        <v>0</v>
      </c>
      <c r="J269" s="16"/>
      <c r="K269" s="47"/>
    </row>
    <row r="270" spans="2:13" x14ac:dyDescent="0.15">
      <c r="B270" s="32"/>
      <c r="C270" s="61" t="s">
        <v>236</v>
      </c>
      <c r="D270" s="65"/>
      <c r="E270" s="65"/>
      <c r="F270" s="65"/>
      <c r="G270" s="65"/>
      <c r="H270" s="65"/>
      <c r="I270" s="66">
        <f>+I260-I269</f>
        <v>0</v>
      </c>
      <c r="J270" s="16"/>
      <c r="K270" s="47"/>
    </row>
    <row r="271" spans="2:13" x14ac:dyDescent="0.15">
      <c r="B271" s="32"/>
      <c r="C271" s="59" t="s">
        <v>157</v>
      </c>
      <c r="D271" s="59"/>
      <c r="E271" s="59"/>
      <c r="F271" s="59"/>
      <c r="G271" s="59"/>
      <c r="H271" s="59"/>
      <c r="I271" s="60"/>
      <c r="J271" s="16"/>
      <c r="K271" s="47"/>
    </row>
    <row r="272" spans="2:13" x14ac:dyDescent="0.15">
      <c r="B272" s="32"/>
      <c r="C272" s="45"/>
      <c r="D272" s="22" t="s">
        <v>158</v>
      </c>
      <c r="E272" s="22"/>
      <c r="F272" s="22"/>
      <c r="G272" s="22"/>
      <c r="H272" s="22"/>
      <c r="I272" s="17"/>
      <c r="J272" s="16"/>
      <c r="K272" s="46"/>
    </row>
    <row r="273" spans="2:13" x14ac:dyDescent="0.15">
      <c r="B273" s="32"/>
      <c r="C273" s="45"/>
      <c r="D273" s="22" t="s">
        <v>159</v>
      </c>
      <c r="E273" s="22"/>
      <c r="F273" s="22"/>
      <c r="G273" s="22"/>
      <c r="H273" s="22"/>
      <c r="I273" s="17">
        <v>600000</v>
      </c>
      <c r="J273" s="16"/>
      <c r="K273" s="46"/>
    </row>
    <row r="274" spans="2:13" x14ac:dyDescent="0.15">
      <c r="B274" s="32"/>
      <c r="C274" s="45"/>
      <c r="D274" s="22" t="s">
        <v>248</v>
      </c>
      <c r="E274" s="22"/>
      <c r="F274" s="22"/>
      <c r="G274" s="22"/>
      <c r="H274" s="22"/>
      <c r="I274" s="17"/>
      <c r="J274" s="16"/>
      <c r="K274" s="46"/>
    </row>
    <row r="275" spans="2:13" x14ac:dyDescent="0.15">
      <c r="B275" s="32"/>
      <c r="C275" s="45"/>
      <c r="D275" s="22" t="s">
        <v>237</v>
      </c>
      <c r="E275" s="22"/>
      <c r="F275" s="22"/>
      <c r="G275" s="22"/>
      <c r="H275" s="22"/>
      <c r="I275" s="17"/>
      <c r="J275" s="16"/>
      <c r="K275" s="46"/>
      <c r="M275" s="20"/>
    </row>
    <row r="276" spans="2:13" x14ac:dyDescent="0.15">
      <c r="B276" s="32"/>
      <c r="C276" s="45"/>
      <c r="D276" s="22" t="s">
        <v>238</v>
      </c>
      <c r="E276" s="22"/>
      <c r="F276" s="22"/>
      <c r="G276" s="22"/>
      <c r="H276" s="22"/>
      <c r="I276" s="17"/>
      <c r="J276" s="16"/>
      <c r="K276" s="46"/>
      <c r="M276" s="20"/>
    </row>
    <row r="277" spans="2:13" x14ac:dyDescent="0.15">
      <c r="B277" s="32"/>
      <c r="C277" s="45"/>
      <c r="D277" s="22" t="s">
        <v>239</v>
      </c>
      <c r="E277" s="22"/>
      <c r="F277" s="22"/>
      <c r="G277" s="22"/>
      <c r="H277" s="22"/>
      <c r="I277" s="17"/>
      <c r="J277" s="16"/>
      <c r="K277" s="46"/>
      <c r="M277" s="20"/>
    </row>
    <row r="278" spans="2:13" x14ac:dyDescent="0.15">
      <c r="B278" s="32"/>
      <c r="C278" s="45"/>
      <c r="D278" s="22" t="s">
        <v>160</v>
      </c>
      <c r="E278" s="22"/>
      <c r="F278" s="22"/>
      <c r="G278" s="22"/>
      <c r="H278" s="22"/>
      <c r="I278" s="17"/>
      <c r="J278" s="16"/>
      <c r="K278" s="46"/>
    </row>
    <row r="279" spans="2:13" x14ac:dyDescent="0.15">
      <c r="B279" s="32"/>
      <c r="C279" s="45"/>
      <c r="D279" s="22" t="s">
        <v>161</v>
      </c>
      <c r="E279" s="22"/>
      <c r="F279" s="22"/>
      <c r="G279" s="22"/>
      <c r="H279" s="22"/>
      <c r="I279" s="17"/>
      <c r="J279" s="16"/>
      <c r="K279" s="46"/>
    </row>
    <row r="280" spans="2:13" x14ac:dyDescent="0.15">
      <c r="B280" s="32"/>
      <c r="C280" s="45"/>
      <c r="D280" s="22" t="s">
        <v>240</v>
      </c>
      <c r="E280" s="22"/>
      <c r="F280" s="22"/>
      <c r="G280" s="22"/>
      <c r="H280" s="22"/>
      <c r="I280" s="17"/>
      <c r="J280" s="16"/>
      <c r="K280" s="46"/>
    </row>
    <row r="281" spans="2:13" x14ac:dyDescent="0.15">
      <c r="B281" s="32"/>
      <c r="C281" s="45"/>
      <c r="D281" s="22" t="s">
        <v>241</v>
      </c>
      <c r="E281" s="22"/>
      <c r="F281" s="22"/>
      <c r="G281" s="22"/>
      <c r="H281" s="22"/>
      <c r="I281" s="17"/>
      <c r="J281" s="16"/>
      <c r="K281" s="46"/>
    </row>
    <row r="282" spans="2:13" x14ac:dyDescent="0.15">
      <c r="B282" s="32"/>
      <c r="C282" s="45"/>
      <c r="D282" s="22" t="s">
        <v>143</v>
      </c>
      <c r="E282" s="22"/>
      <c r="F282" s="22"/>
      <c r="G282" s="22"/>
      <c r="H282" s="22"/>
      <c r="I282" s="17"/>
      <c r="J282" s="16"/>
      <c r="K282" s="46"/>
    </row>
    <row r="283" spans="2:13" x14ac:dyDescent="0.15">
      <c r="B283" s="32"/>
      <c r="C283" s="45"/>
      <c r="D283" s="22" t="s">
        <v>164</v>
      </c>
      <c r="E283" s="22"/>
      <c r="F283" s="22"/>
      <c r="G283" s="22"/>
      <c r="H283" s="22"/>
      <c r="I283" s="17"/>
      <c r="J283" s="16"/>
      <c r="K283" s="46"/>
    </row>
    <row r="284" spans="2:13" x14ac:dyDescent="0.15">
      <c r="B284" s="32"/>
      <c r="C284" s="45"/>
      <c r="D284" s="22" t="s">
        <v>251</v>
      </c>
      <c r="E284" s="22"/>
      <c r="F284" s="22"/>
      <c r="G284" s="22"/>
      <c r="H284" s="22"/>
      <c r="I284" s="17"/>
      <c r="J284" s="16"/>
      <c r="K284" s="46"/>
    </row>
    <row r="285" spans="2:13" x14ac:dyDescent="0.15">
      <c r="B285" s="32"/>
      <c r="C285" s="45"/>
      <c r="D285" s="22" t="s">
        <v>165</v>
      </c>
      <c r="E285" s="22"/>
      <c r="F285" s="22"/>
      <c r="G285" s="22"/>
      <c r="H285" s="22"/>
      <c r="I285" s="17"/>
      <c r="J285" s="16"/>
      <c r="K285" s="46"/>
    </row>
    <row r="286" spans="2:13" x14ac:dyDescent="0.15">
      <c r="B286" s="32"/>
      <c r="C286" s="45"/>
      <c r="D286" s="22" t="s">
        <v>166</v>
      </c>
      <c r="E286" s="22"/>
      <c r="F286" s="22"/>
      <c r="G286" s="22"/>
      <c r="H286" s="22"/>
      <c r="I286" s="17"/>
      <c r="J286" s="16"/>
      <c r="K286" s="46"/>
    </row>
    <row r="287" spans="2:13" x14ac:dyDescent="0.15">
      <c r="B287" s="32"/>
      <c r="C287" s="18" t="s">
        <v>162</v>
      </c>
      <c r="D287" s="48"/>
      <c r="E287" s="48"/>
      <c r="F287" s="48"/>
      <c r="G287" s="48"/>
      <c r="H287" s="48"/>
      <c r="I287" s="19">
        <f>SUM(I272:I286)</f>
        <v>600000</v>
      </c>
      <c r="J287" s="16"/>
      <c r="K287" s="47"/>
    </row>
    <row r="288" spans="2:13" x14ac:dyDescent="0.15">
      <c r="B288" s="32"/>
      <c r="C288" s="61" t="s">
        <v>163</v>
      </c>
      <c r="D288" s="61"/>
      <c r="E288" s="61"/>
      <c r="F288" s="61"/>
      <c r="G288" s="61"/>
      <c r="H288" s="61"/>
      <c r="I288" s="62">
        <f>+I256+I270-I287</f>
        <v>-600000</v>
      </c>
      <c r="J288" s="16"/>
      <c r="K288" s="47"/>
    </row>
    <row r="289" spans="2:12" ht="16" x14ac:dyDescent="0.2">
      <c r="B289" s="32"/>
      <c r="C289" s="59" t="s">
        <v>167</v>
      </c>
      <c r="D289" s="59"/>
      <c r="E289" s="59"/>
      <c r="F289" s="59"/>
      <c r="G289" s="59"/>
      <c r="H289" s="59"/>
      <c r="I289" s="60"/>
      <c r="J289" s="16"/>
      <c r="K289" s="47"/>
      <c r="L289" s="21"/>
    </row>
    <row r="290" spans="2:12" ht="13" customHeight="1" x14ac:dyDescent="0.2">
      <c r="B290" s="32"/>
      <c r="C290" s="45"/>
      <c r="D290" s="22" t="s">
        <v>169</v>
      </c>
      <c r="E290" s="22"/>
      <c r="F290" s="22"/>
      <c r="G290" s="22"/>
      <c r="H290" s="22"/>
      <c r="I290" s="17"/>
      <c r="J290" s="16"/>
      <c r="K290" s="46"/>
      <c r="L290" s="21"/>
    </row>
    <row r="291" spans="2:12" ht="13" customHeight="1" x14ac:dyDescent="0.2">
      <c r="B291" s="32"/>
      <c r="C291" s="45"/>
      <c r="D291" s="22" t="s">
        <v>168</v>
      </c>
      <c r="E291" s="22"/>
      <c r="F291" s="22"/>
      <c r="G291" s="22"/>
      <c r="H291" s="22"/>
      <c r="I291" s="17"/>
      <c r="J291" s="16"/>
      <c r="K291" s="46"/>
      <c r="L291" s="21"/>
    </row>
    <row r="292" spans="2:12" ht="13" customHeight="1" x14ac:dyDescent="0.2">
      <c r="B292" s="32"/>
      <c r="C292" s="45"/>
      <c r="D292" s="22" t="s">
        <v>170</v>
      </c>
      <c r="E292" s="22"/>
      <c r="F292" s="22"/>
      <c r="G292" s="22"/>
      <c r="H292" s="22"/>
      <c r="I292" s="17"/>
      <c r="J292" s="16"/>
      <c r="K292" s="46"/>
      <c r="L292" s="21"/>
    </row>
    <row r="293" spans="2:12" ht="13" customHeight="1" x14ac:dyDescent="0.2">
      <c r="B293" s="32"/>
      <c r="C293" s="45"/>
      <c r="D293" s="22" t="s">
        <v>171</v>
      </c>
      <c r="E293" s="22"/>
      <c r="F293" s="22"/>
      <c r="G293" s="22"/>
      <c r="H293" s="22"/>
      <c r="I293" s="17"/>
      <c r="J293" s="16"/>
      <c r="K293" s="46"/>
      <c r="L293" s="21"/>
    </row>
    <row r="294" spans="2:12" ht="13" customHeight="1" x14ac:dyDescent="0.2">
      <c r="B294" s="32"/>
      <c r="C294" s="45"/>
      <c r="D294" s="22" t="s">
        <v>172</v>
      </c>
      <c r="E294" s="22"/>
      <c r="F294" s="22"/>
      <c r="G294" s="22"/>
      <c r="H294" s="22"/>
      <c r="I294" s="17"/>
      <c r="J294" s="16"/>
      <c r="K294" s="46"/>
      <c r="L294" s="21"/>
    </row>
    <row r="295" spans="2:12" ht="13" customHeight="1" x14ac:dyDescent="0.2">
      <c r="B295" s="32"/>
      <c r="C295" s="45"/>
      <c r="D295" s="22" t="s">
        <v>173</v>
      </c>
      <c r="E295" s="22"/>
      <c r="F295" s="22"/>
      <c r="G295" s="22"/>
      <c r="H295" s="22"/>
      <c r="I295" s="17"/>
      <c r="J295" s="16"/>
      <c r="K295" s="46"/>
      <c r="L295" s="21"/>
    </row>
    <row r="296" spans="2:12" ht="13" customHeight="1" x14ac:dyDescent="0.2">
      <c r="B296" s="32"/>
      <c r="C296" s="45"/>
      <c r="D296" s="22" t="s">
        <v>174</v>
      </c>
      <c r="E296" s="22"/>
      <c r="F296" s="22"/>
      <c r="G296" s="22"/>
      <c r="H296" s="22"/>
      <c r="I296" s="17"/>
      <c r="J296" s="16"/>
      <c r="K296" s="46"/>
      <c r="L296" s="21"/>
    </row>
    <row r="297" spans="2:12" ht="13" customHeight="1" x14ac:dyDescent="0.2">
      <c r="B297" s="32"/>
      <c r="C297" s="45"/>
      <c r="D297" s="22" t="s">
        <v>175</v>
      </c>
      <c r="E297" s="22"/>
      <c r="F297" s="22"/>
      <c r="G297" s="22"/>
      <c r="H297" s="22"/>
      <c r="I297" s="17"/>
      <c r="J297" s="16"/>
      <c r="K297" s="46"/>
      <c r="L297" s="21"/>
    </row>
    <row r="298" spans="2:12" ht="13" customHeight="1" x14ac:dyDescent="0.2">
      <c r="B298" s="32"/>
      <c r="C298" s="45"/>
      <c r="D298" s="22" t="s">
        <v>176</v>
      </c>
      <c r="E298" s="22"/>
      <c r="F298" s="22"/>
      <c r="G298" s="22"/>
      <c r="H298" s="22"/>
      <c r="I298" s="17"/>
      <c r="J298" s="16"/>
      <c r="K298" s="46"/>
      <c r="L298" s="21"/>
    </row>
    <row r="299" spans="2:12" ht="13" customHeight="1" x14ac:dyDescent="0.2">
      <c r="B299" s="32"/>
      <c r="C299" s="45"/>
      <c r="D299" s="22" t="s">
        <v>177</v>
      </c>
      <c r="E299" s="22"/>
      <c r="F299" s="22"/>
      <c r="G299" s="22"/>
      <c r="H299" s="22"/>
      <c r="I299" s="17"/>
      <c r="J299" s="16"/>
      <c r="K299" s="46"/>
      <c r="L299" s="21"/>
    </row>
    <row r="300" spans="2:12" ht="13" customHeight="1" x14ac:dyDescent="0.2">
      <c r="B300" s="32"/>
      <c r="C300" s="45"/>
      <c r="D300" s="22" t="s">
        <v>178</v>
      </c>
      <c r="E300" s="22"/>
      <c r="F300" s="22"/>
      <c r="G300" s="22"/>
      <c r="H300" s="22"/>
      <c r="I300" s="17"/>
      <c r="J300" s="16"/>
      <c r="K300" s="46"/>
      <c r="L300" s="21"/>
    </row>
    <row r="301" spans="2:12" ht="16" x14ac:dyDescent="0.2">
      <c r="B301" s="32"/>
      <c r="C301" s="18" t="s">
        <v>179</v>
      </c>
      <c r="D301" s="48"/>
      <c r="E301" s="48"/>
      <c r="F301" s="48"/>
      <c r="G301" s="48"/>
      <c r="H301" s="48"/>
      <c r="I301" s="19">
        <f>+I290+I291+I292+I293-I294-I295-I296-I297-I298-I299-I300</f>
        <v>0</v>
      </c>
      <c r="J301" s="16"/>
      <c r="K301" s="47"/>
      <c r="L301" s="21"/>
    </row>
    <row r="302" spans="2:12" ht="16" x14ac:dyDescent="0.2">
      <c r="B302" s="32"/>
      <c r="C302" s="59" t="s">
        <v>180</v>
      </c>
      <c r="D302" s="59"/>
      <c r="E302" s="59"/>
      <c r="F302" s="59"/>
      <c r="G302" s="59"/>
      <c r="H302" s="59"/>
      <c r="I302" s="60"/>
      <c r="J302" s="16"/>
      <c r="K302" s="47"/>
      <c r="L302" s="21"/>
    </row>
    <row r="303" spans="2:12" ht="16" x14ac:dyDescent="0.2">
      <c r="B303" s="32"/>
      <c r="C303" s="45"/>
      <c r="D303" s="22" t="s">
        <v>181</v>
      </c>
      <c r="E303" s="22"/>
      <c r="F303" s="22"/>
      <c r="G303" s="22"/>
      <c r="H303" s="22"/>
      <c r="I303" s="17"/>
      <c r="J303" s="16"/>
      <c r="K303" s="46"/>
      <c r="L303" s="21"/>
    </row>
    <row r="304" spans="2:12" ht="16" x14ac:dyDescent="0.2">
      <c r="B304" s="32"/>
      <c r="C304" s="45"/>
      <c r="D304" s="22" t="s">
        <v>182</v>
      </c>
      <c r="E304" s="22"/>
      <c r="F304" s="22"/>
      <c r="G304" s="22"/>
      <c r="H304" s="22"/>
      <c r="I304" s="17">
        <v>0</v>
      </c>
      <c r="J304" s="16"/>
      <c r="K304" s="46"/>
      <c r="L304" s="21"/>
    </row>
    <row r="305" spans="2:12" ht="16" x14ac:dyDescent="0.2">
      <c r="B305" s="32"/>
      <c r="C305" s="18" t="s">
        <v>183</v>
      </c>
      <c r="D305" s="48"/>
      <c r="E305" s="48"/>
      <c r="F305" s="48"/>
      <c r="G305" s="48"/>
      <c r="H305" s="48"/>
      <c r="I305" s="19"/>
      <c r="J305" s="16"/>
      <c r="K305" s="47"/>
      <c r="L305" s="21"/>
    </row>
    <row r="306" spans="2:12" ht="16" x14ac:dyDescent="0.2">
      <c r="B306" s="32"/>
      <c r="C306" s="61" t="s">
        <v>184</v>
      </c>
      <c r="D306" s="61"/>
      <c r="E306" s="61"/>
      <c r="F306" s="61"/>
      <c r="G306" s="61"/>
      <c r="H306" s="61"/>
      <c r="I306" s="62">
        <f>+I288+I301+I305</f>
        <v>-600000</v>
      </c>
      <c r="J306" s="16"/>
      <c r="K306" s="47"/>
      <c r="L306" s="21"/>
    </row>
    <row r="307" spans="2:12" ht="16" x14ac:dyDescent="0.2">
      <c r="B307" s="33"/>
      <c r="C307" s="85"/>
      <c r="D307" s="34"/>
      <c r="E307" s="34"/>
      <c r="F307" s="34"/>
      <c r="G307" s="34"/>
      <c r="H307" s="34"/>
      <c r="I307" s="34"/>
      <c r="J307" s="34"/>
      <c r="K307" s="74"/>
      <c r="L307" s="21"/>
    </row>
    <row r="308" spans="2:12" ht="16" x14ac:dyDescent="0.2"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</row>
    <row r="309" spans="2:12" x14ac:dyDescent="0.15">
      <c r="B309" s="172" t="s">
        <v>146</v>
      </c>
      <c r="C309" s="173"/>
      <c r="D309" s="173"/>
      <c r="E309" s="173"/>
      <c r="F309" s="173"/>
      <c r="G309" s="173"/>
      <c r="H309" s="173"/>
      <c r="I309" s="173"/>
      <c r="J309" s="174"/>
      <c r="K309" s="175"/>
    </row>
    <row r="310" spans="2:12" x14ac:dyDescent="0.15">
      <c r="B310" s="32"/>
      <c r="C310" s="14"/>
      <c r="D310" s="14"/>
      <c r="E310" s="14"/>
      <c r="F310" s="14"/>
      <c r="G310" s="14"/>
      <c r="H310" s="14"/>
      <c r="I310" s="14"/>
      <c r="J310" s="16"/>
      <c r="K310" s="30"/>
    </row>
    <row r="311" spans="2:12" x14ac:dyDescent="0.15">
      <c r="B311" s="32"/>
      <c r="C311" s="179" t="s">
        <v>185</v>
      </c>
      <c r="D311" s="179"/>
      <c r="E311" s="179"/>
      <c r="F311" s="179"/>
      <c r="G311" s="179"/>
      <c r="H311" s="179"/>
      <c r="I311" s="179"/>
      <c r="J311" s="16"/>
      <c r="K311" s="44"/>
    </row>
    <row r="312" spans="2:12" x14ac:dyDescent="0.15">
      <c r="B312" s="32"/>
      <c r="C312" s="59" t="s">
        <v>186</v>
      </c>
      <c r="D312" s="67"/>
      <c r="E312" s="67"/>
      <c r="F312" s="67"/>
      <c r="G312" s="67"/>
      <c r="H312" s="68" t="s">
        <v>187</v>
      </c>
      <c r="I312" s="69" t="s">
        <v>188</v>
      </c>
      <c r="J312" s="16"/>
      <c r="K312" s="49"/>
    </row>
    <row r="313" spans="2:12" x14ac:dyDescent="0.15">
      <c r="B313" s="32"/>
      <c r="C313" s="45" t="s">
        <v>189</v>
      </c>
      <c r="D313" s="45"/>
      <c r="E313" s="45"/>
      <c r="F313" s="45"/>
      <c r="G313" s="45"/>
      <c r="H313" s="17">
        <f>I313-(H314-I314)-(H315-I315)-(H316-I316)-(H317-I317)-(H318-I318)-(H325-I325)-(H326-I326)-(H327-I327)+(H336-I336)+(H337-I337)+I306+I272</f>
        <v>53400000</v>
      </c>
      <c r="I313" s="23">
        <v>54000000</v>
      </c>
      <c r="J313" s="16"/>
      <c r="K313" s="46"/>
    </row>
    <row r="314" spans="2:12" x14ac:dyDescent="0.15">
      <c r="B314" s="32"/>
      <c r="C314" s="45" t="s">
        <v>30</v>
      </c>
      <c r="D314" s="45"/>
      <c r="E314" s="45"/>
      <c r="F314" s="45"/>
      <c r="G314" s="45"/>
      <c r="H314" s="17"/>
      <c r="I314" s="23">
        <v>0</v>
      </c>
      <c r="J314" s="16"/>
      <c r="K314" s="46"/>
    </row>
    <row r="315" spans="2:12" x14ac:dyDescent="0.15">
      <c r="B315" s="32"/>
      <c r="C315" s="45" t="s">
        <v>114</v>
      </c>
      <c r="D315" s="45"/>
      <c r="E315" s="45"/>
      <c r="F315" s="45"/>
      <c r="G315" s="45"/>
      <c r="H315" s="17"/>
      <c r="I315" s="23">
        <v>0</v>
      </c>
      <c r="J315" s="16"/>
      <c r="K315" s="46"/>
    </row>
    <row r="316" spans="2:12" x14ac:dyDescent="0.15">
      <c r="B316" s="32"/>
      <c r="C316" s="45" t="s">
        <v>32</v>
      </c>
      <c r="D316" s="45"/>
      <c r="E316" s="45"/>
      <c r="F316" s="45"/>
      <c r="G316" s="45"/>
      <c r="H316" s="17"/>
      <c r="I316" s="23">
        <v>0</v>
      </c>
      <c r="J316" s="16"/>
      <c r="K316" s="46"/>
    </row>
    <row r="317" spans="2:12" x14ac:dyDescent="0.15">
      <c r="B317" s="32"/>
      <c r="C317" s="45" t="s">
        <v>190</v>
      </c>
      <c r="D317" s="45"/>
      <c r="E317" s="45"/>
      <c r="F317" s="45"/>
      <c r="G317" s="45"/>
      <c r="H317" s="17"/>
      <c r="I317" s="23">
        <v>0</v>
      </c>
      <c r="J317" s="16"/>
      <c r="K317" s="46"/>
    </row>
    <row r="318" spans="2:12" x14ac:dyDescent="0.15">
      <c r="B318" s="32"/>
      <c r="C318" s="45" t="s">
        <v>191</v>
      </c>
      <c r="D318" s="45"/>
      <c r="E318" s="45"/>
      <c r="F318" s="45"/>
      <c r="G318" s="45"/>
      <c r="H318" s="17"/>
      <c r="I318" s="23">
        <v>0</v>
      </c>
      <c r="J318" s="16"/>
      <c r="K318" s="46"/>
    </row>
    <row r="319" spans="2:12" x14ac:dyDescent="0.15">
      <c r="B319" s="32"/>
      <c r="C319" s="45"/>
      <c r="D319" s="22" t="s">
        <v>244</v>
      </c>
      <c r="E319" s="45"/>
      <c r="F319" s="45"/>
      <c r="G319" s="45"/>
      <c r="H319" s="17"/>
      <c r="I319" s="23">
        <v>0</v>
      </c>
      <c r="J319" s="16"/>
      <c r="K319" s="46"/>
    </row>
    <row r="320" spans="2:12" x14ac:dyDescent="0.15">
      <c r="B320" s="32"/>
      <c r="C320" s="45"/>
      <c r="D320" s="22" t="s">
        <v>245</v>
      </c>
      <c r="E320" s="45"/>
      <c r="F320" s="45"/>
      <c r="G320" s="45"/>
      <c r="H320" s="17"/>
      <c r="I320" s="23">
        <v>0</v>
      </c>
      <c r="J320" s="16"/>
      <c r="K320" s="46"/>
    </row>
    <row r="321" spans="2:11" x14ac:dyDescent="0.15">
      <c r="B321" s="32"/>
      <c r="C321" s="22"/>
      <c r="D321" s="22" t="s">
        <v>242</v>
      </c>
      <c r="E321" s="45"/>
      <c r="F321" s="45"/>
      <c r="G321" s="45"/>
      <c r="H321" s="50"/>
      <c r="I321" s="23">
        <v>0</v>
      </c>
      <c r="J321" s="16"/>
      <c r="K321" s="46"/>
    </row>
    <row r="322" spans="2:11" x14ac:dyDescent="0.15">
      <c r="B322" s="32"/>
      <c r="C322" s="22"/>
      <c r="D322" s="22" t="s">
        <v>243</v>
      </c>
      <c r="E322" s="45"/>
      <c r="F322" s="45"/>
      <c r="G322" s="45"/>
      <c r="H322" s="50"/>
      <c r="I322" s="23">
        <v>0</v>
      </c>
      <c r="J322" s="16"/>
      <c r="K322" s="46"/>
    </row>
    <row r="323" spans="2:11" x14ac:dyDescent="0.15">
      <c r="B323" s="32"/>
      <c r="C323" s="18" t="s">
        <v>192</v>
      </c>
      <c r="D323" s="83"/>
      <c r="E323" s="83"/>
      <c r="F323" s="83"/>
      <c r="G323" s="83"/>
      <c r="H323" s="19">
        <f>SUM(H313:H318)</f>
        <v>53400000</v>
      </c>
      <c r="I323" s="19">
        <f>SUM(I313:I318)</f>
        <v>54000000</v>
      </c>
      <c r="J323" s="16"/>
      <c r="K323" s="47"/>
    </row>
    <row r="324" spans="2:11" x14ac:dyDescent="0.15">
      <c r="B324" s="32"/>
      <c r="C324" s="45" t="s">
        <v>260</v>
      </c>
      <c r="D324" s="45"/>
      <c r="E324" s="45"/>
      <c r="F324" s="45"/>
      <c r="G324" s="45"/>
      <c r="H324" s="17">
        <v>12000000</v>
      </c>
      <c r="I324" s="17">
        <v>12000000</v>
      </c>
      <c r="J324" s="16"/>
      <c r="K324" s="46"/>
    </row>
    <row r="325" spans="2:11" x14ac:dyDescent="0.15">
      <c r="B325" s="32"/>
      <c r="C325" s="45" t="s">
        <v>88</v>
      </c>
      <c r="D325" s="45"/>
      <c r="E325" s="45"/>
      <c r="F325" s="45"/>
      <c r="G325" s="45"/>
      <c r="H325" s="17"/>
      <c r="I325" s="23">
        <v>0</v>
      </c>
      <c r="J325" s="16"/>
      <c r="K325" s="46"/>
    </row>
    <row r="326" spans="2:11" x14ac:dyDescent="0.15">
      <c r="B326" s="32"/>
      <c r="C326" s="45" t="s">
        <v>193</v>
      </c>
      <c r="D326" s="45"/>
      <c r="E326" s="45"/>
      <c r="F326" s="45"/>
      <c r="G326" s="45"/>
      <c r="H326" s="17"/>
      <c r="I326" s="23">
        <v>0</v>
      </c>
      <c r="J326" s="16"/>
      <c r="K326" s="46"/>
    </row>
    <row r="327" spans="2:11" x14ac:dyDescent="0.15">
      <c r="B327" s="32"/>
      <c r="C327" s="45" t="s">
        <v>194</v>
      </c>
      <c r="D327" s="45"/>
      <c r="E327" s="45"/>
      <c r="F327" s="45"/>
      <c r="G327" s="45"/>
      <c r="H327" s="17"/>
      <c r="I327" s="23">
        <v>0</v>
      </c>
      <c r="J327" s="16"/>
      <c r="K327" s="46"/>
    </row>
    <row r="328" spans="2:11" x14ac:dyDescent="0.15">
      <c r="B328" s="32"/>
      <c r="C328" s="45" t="s">
        <v>195</v>
      </c>
      <c r="D328" s="45"/>
      <c r="E328" s="45"/>
      <c r="F328" s="45"/>
      <c r="G328" s="45"/>
      <c r="H328" s="17"/>
      <c r="I328" s="23">
        <v>0</v>
      </c>
      <c r="J328" s="16"/>
      <c r="K328" s="46"/>
    </row>
    <row r="329" spans="2:11" x14ac:dyDescent="0.15">
      <c r="B329" s="32"/>
      <c r="C329" s="18" t="s">
        <v>196</v>
      </c>
      <c r="D329" s="83"/>
      <c r="E329" s="83"/>
      <c r="F329" s="83"/>
      <c r="G329" s="83"/>
      <c r="H329" s="19">
        <f>SUM(H324:H328)</f>
        <v>12000000</v>
      </c>
      <c r="I329" s="19">
        <f>SUM(I324:I328)</f>
        <v>12000000</v>
      </c>
      <c r="J329" s="16"/>
      <c r="K329" s="47"/>
    </row>
    <row r="330" spans="2:11" x14ac:dyDescent="0.15">
      <c r="B330" s="32"/>
      <c r="C330" s="70" t="s">
        <v>197</v>
      </c>
      <c r="D330" s="71"/>
      <c r="E330" s="71"/>
      <c r="F330" s="71"/>
      <c r="G330" s="71"/>
      <c r="H330" s="62">
        <f>+H323+H329</f>
        <v>65400000</v>
      </c>
      <c r="I330" s="62">
        <f>+I323+I329</f>
        <v>66000000</v>
      </c>
      <c r="J330" s="16"/>
      <c r="K330" s="47"/>
    </row>
    <row r="331" spans="2:11" x14ac:dyDescent="0.15">
      <c r="B331" s="32"/>
      <c r="C331" s="59" t="s">
        <v>198</v>
      </c>
      <c r="D331" s="67"/>
      <c r="E331" s="67"/>
      <c r="F331" s="67"/>
      <c r="G331" s="67"/>
      <c r="H331" s="72"/>
      <c r="I331" s="72"/>
      <c r="J331" s="16"/>
      <c r="K331" s="46"/>
    </row>
    <row r="332" spans="2:11" x14ac:dyDescent="0.15">
      <c r="B332" s="32"/>
      <c r="C332" s="45" t="s">
        <v>246</v>
      </c>
      <c r="D332" s="45"/>
      <c r="E332" s="45"/>
      <c r="F332" s="45"/>
      <c r="G332" s="45"/>
      <c r="H332" s="17"/>
      <c r="I332" s="23">
        <v>0</v>
      </c>
      <c r="J332" s="16"/>
      <c r="K332" s="46"/>
    </row>
    <row r="333" spans="2:11" x14ac:dyDescent="0.15">
      <c r="B333" s="32"/>
      <c r="C333" s="45" t="s">
        <v>247</v>
      </c>
      <c r="D333" s="45"/>
      <c r="E333" s="45"/>
      <c r="F333" s="45"/>
      <c r="G333" s="45"/>
      <c r="H333" s="17"/>
      <c r="I333" s="23">
        <v>0</v>
      </c>
      <c r="J333" s="16"/>
      <c r="K333" s="46"/>
    </row>
    <row r="334" spans="2:11" x14ac:dyDescent="0.15">
      <c r="B334" s="32"/>
      <c r="C334" s="45" t="s">
        <v>253</v>
      </c>
      <c r="D334" s="45"/>
      <c r="E334" s="45"/>
      <c r="F334" s="45"/>
      <c r="G334" s="45"/>
      <c r="H334" s="17"/>
      <c r="I334" s="23">
        <v>0</v>
      </c>
      <c r="J334" s="16"/>
      <c r="K334" s="46"/>
    </row>
    <row r="335" spans="2:11" x14ac:dyDescent="0.15">
      <c r="B335" s="32"/>
      <c r="C335" s="45" t="s">
        <v>199</v>
      </c>
      <c r="D335" s="45"/>
      <c r="E335" s="45"/>
      <c r="F335" s="45"/>
      <c r="G335" s="45"/>
      <c r="H335" s="17"/>
      <c r="I335" s="23">
        <v>0</v>
      </c>
      <c r="J335" s="16"/>
      <c r="K335" s="46"/>
    </row>
    <row r="336" spans="2:11" x14ac:dyDescent="0.15">
      <c r="B336" s="32"/>
      <c r="C336" s="18" t="s">
        <v>200</v>
      </c>
      <c r="D336" s="83"/>
      <c r="E336" s="83"/>
      <c r="F336" s="83"/>
      <c r="G336" s="83"/>
      <c r="H336" s="19">
        <f>SUM(H332:H335)</f>
        <v>0</v>
      </c>
      <c r="I336" s="19">
        <f>SUM(I332:I335)</f>
        <v>0</v>
      </c>
      <c r="J336" s="16"/>
      <c r="K336" s="47"/>
    </row>
    <row r="337" spans="2:12" x14ac:dyDescent="0.15">
      <c r="B337" s="32"/>
      <c r="C337" s="45" t="s">
        <v>252</v>
      </c>
      <c r="D337" s="45"/>
      <c r="E337" s="45"/>
      <c r="F337" s="45"/>
      <c r="G337" s="45"/>
      <c r="H337" s="17"/>
      <c r="I337" s="23">
        <v>0</v>
      </c>
      <c r="J337" s="16"/>
      <c r="K337" s="46"/>
    </row>
    <row r="338" spans="2:12" x14ac:dyDescent="0.15">
      <c r="B338" s="32"/>
      <c r="C338" s="18" t="s">
        <v>201</v>
      </c>
      <c r="D338" s="83"/>
      <c r="E338" s="83"/>
      <c r="F338" s="83"/>
      <c r="G338" s="83"/>
      <c r="H338" s="19">
        <f>SUM(H337)</f>
        <v>0</v>
      </c>
      <c r="I338" s="19">
        <f>SUM(I337)</f>
        <v>0</v>
      </c>
      <c r="J338" s="16"/>
      <c r="K338" s="47"/>
    </row>
    <row r="339" spans="2:12" x14ac:dyDescent="0.15">
      <c r="B339" s="32"/>
      <c r="C339" s="70" t="s">
        <v>202</v>
      </c>
      <c r="D339" s="71"/>
      <c r="E339" s="71"/>
      <c r="F339" s="71"/>
      <c r="G339" s="71"/>
      <c r="H339" s="62">
        <f>+H336+H338</f>
        <v>0</v>
      </c>
      <c r="I339" s="62">
        <f>+I336+I338</f>
        <v>0</v>
      </c>
      <c r="J339" s="16"/>
      <c r="K339" s="47"/>
    </row>
    <row r="340" spans="2:12" x14ac:dyDescent="0.15">
      <c r="B340" s="32"/>
      <c r="C340" s="59" t="s">
        <v>203</v>
      </c>
      <c r="D340" s="67"/>
      <c r="E340" s="67"/>
      <c r="F340" s="67"/>
      <c r="G340" s="72"/>
      <c r="H340" s="72"/>
      <c r="I340" s="72"/>
      <c r="J340" s="16"/>
      <c r="K340" s="46"/>
    </row>
    <row r="341" spans="2:12" x14ac:dyDescent="0.15">
      <c r="B341" s="32"/>
      <c r="C341" s="45" t="s">
        <v>204</v>
      </c>
      <c r="D341" s="45"/>
      <c r="E341" s="45"/>
      <c r="F341" s="45"/>
      <c r="G341" s="45"/>
      <c r="H341" s="17">
        <v>66000000</v>
      </c>
      <c r="I341" s="17">
        <v>66000000</v>
      </c>
      <c r="J341" s="16"/>
      <c r="K341" s="46"/>
    </row>
    <row r="342" spans="2:12" x14ac:dyDescent="0.15">
      <c r="B342" s="32"/>
      <c r="C342" s="45" t="s">
        <v>205</v>
      </c>
      <c r="D342" s="45"/>
      <c r="E342" s="45"/>
      <c r="F342" s="45"/>
      <c r="G342" s="45"/>
      <c r="H342" s="17"/>
      <c r="I342" s="23">
        <v>0</v>
      </c>
      <c r="J342" s="16"/>
      <c r="K342" s="46"/>
    </row>
    <row r="343" spans="2:12" x14ac:dyDescent="0.15">
      <c r="B343" s="32"/>
      <c r="C343" s="45" t="s">
        <v>206</v>
      </c>
      <c r="D343" s="45"/>
      <c r="E343" s="45"/>
      <c r="F343" s="45"/>
      <c r="G343" s="45"/>
      <c r="H343" s="17">
        <f>I306</f>
        <v>-600000</v>
      </c>
      <c r="I343" s="23">
        <v>0</v>
      </c>
      <c r="J343" s="16"/>
      <c r="K343" s="46"/>
    </row>
    <row r="344" spans="2:12" x14ac:dyDescent="0.15">
      <c r="B344" s="32"/>
      <c r="C344" s="116" t="s">
        <v>207</v>
      </c>
      <c r="D344" s="71"/>
      <c r="E344" s="71"/>
      <c r="F344" s="71"/>
      <c r="G344" s="71"/>
      <c r="H344" s="62">
        <f>SUM(H341:H343)</f>
        <v>65400000</v>
      </c>
      <c r="I344" s="62">
        <f>SUM(I341:I343)</f>
        <v>66000000</v>
      </c>
      <c r="J344" s="16"/>
      <c r="K344" s="47"/>
    </row>
    <row r="345" spans="2:12" ht="16" x14ac:dyDescent="0.2">
      <c r="B345" s="32"/>
      <c r="C345" s="65" t="s">
        <v>208</v>
      </c>
      <c r="D345" s="77"/>
      <c r="E345" s="77"/>
      <c r="F345" s="77"/>
      <c r="G345" s="77"/>
      <c r="H345" s="78"/>
      <c r="I345" s="79"/>
      <c r="J345" s="16"/>
      <c r="K345" s="51"/>
      <c r="L345" s="21"/>
    </row>
    <row r="346" spans="2:12" ht="16" x14ac:dyDescent="0.2">
      <c r="B346" s="32"/>
      <c r="C346" s="117" t="s">
        <v>209</v>
      </c>
      <c r="D346" s="80"/>
      <c r="E346" s="80"/>
      <c r="F346" s="80"/>
      <c r="G346" s="80"/>
      <c r="H346" s="81"/>
      <c r="I346" s="82"/>
      <c r="J346" s="16"/>
      <c r="K346" s="51"/>
      <c r="L346" s="21"/>
    </row>
    <row r="347" spans="2:12" ht="16" x14ac:dyDescent="0.2">
      <c r="B347" s="32"/>
      <c r="C347" s="14"/>
      <c r="D347" s="14"/>
      <c r="E347" s="14"/>
      <c r="F347" s="14"/>
      <c r="G347" s="14"/>
      <c r="H347" s="14"/>
      <c r="I347" s="14"/>
      <c r="J347" s="16"/>
      <c r="K347" s="30"/>
      <c r="L347" s="21"/>
    </row>
    <row r="348" spans="2:12" ht="16" x14ac:dyDescent="0.2">
      <c r="B348" s="33"/>
      <c r="C348" s="34"/>
      <c r="D348" s="34"/>
      <c r="E348" s="34"/>
      <c r="F348" s="34"/>
      <c r="G348" s="34"/>
      <c r="H348" s="34"/>
      <c r="I348" s="34"/>
      <c r="J348" s="34"/>
      <c r="K348" s="35"/>
      <c r="L348" s="21"/>
    </row>
  </sheetData>
  <sheetProtection selectLockedCells="1" selectUnlockedCells="1"/>
  <mergeCells count="166">
    <mergeCell ref="B233:K233"/>
    <mergeCell ref="C217:E217"/>
    <mergeCell ref="C218:E218"/>
    <mergeCell ref="C219:E219"/>
    <mergeCell ref="C220:E220"/>
    <mergeCell ref="C221:E221"/>
    <mergeCell ref="B223:K223"/>
    <mergeCell ref="C311:I311"/>
    <mergeCell ref="B240:K240"/>
    <mergeCell ref="C242:I242"/>
    <mergeCell ref="B309:K309"/>
    <mergeCell ref="C235:F235"/>
    <mergeCell ref="C236:E236"/>
    <mergeCell ref="C237:E237"/>
    <mergeCell ref="B211:K211"/>
    <mergeCell ref="C214:E214"/>
    <mergeCell ref="C215:E215"/>
    <mergeCell ref="C216:E216"/>
    <mergeCell ref="C226:E226"/>
    <mergeCell ref="C228:E228"/>
    <mergeCell ref="C229:E229"/>
    <mergeCell ref="C230:E230"/>
    <mergeCell ref="C231:E231"/>
    <mergeCell ref="C205:D205"/>
    <mergeCell ref="C207:G207"/>
    <mergeCell ref="C208:G208"/>
    <mergeCell ref="C209:G209"/>
    <mergeCell ref="C199:D199"/>
    <mergeCell ref="C200:D200"/>
    <mergeCell ref="C201:D201"/>
    <mergeCell ref="C202:D202"/>
    <mergeCell ref="C203:D203"/>
    <mergeCell ref="C204:D204"/>
    <mergeCell ref="B194:K194"/>
    <mergeCell ref="C196:D196"/>
    <mergeCell ref="E196:F196"/>
    <mergeCell ref="G196:H196"/>
    <mergeCell ref="C197:D197"/>
    <mergeCell ref="C198:D198"/>
    <mergeCell ref="C186:D186"/>
    <mergeCell ref="C187:D187"/>
    <mergeCell ref="C188:D188"/>
    <mergeCell ref="C190:G190"/>
    <mergeCell ref="C191:G191"/>
    <mergeCell ref="C192:G192"/>
    <mergeCell ref="C180:D180"/>
    <mergeCell ref="C181:D181"/>
    <mergeCell ref="C182:D182"/>
    <mergeCell ref="C183:D183"/>
    <mergeCell ref="C184:D184"/>
    <mergeCell ref="C185:D185"/>
    <mergeCell ref="C167:H167"/>
    <mergeCell ref="C169:E169"/>
    <mergeCell ref="B177:K177"/>
    <mergeCell ref="C179:D179"/>
    <mergeCell ref="E179:F179"/>
    <mergeCell ref="G179:H179"/>
    <mergeCell ref="C158:H158"/>
    <mergeCell ref="C159:H159"/>
    <mergeCell ref="C161:H161"/>
    <mergeCell ref="C163:H163"/>
    <mergeCell ref="C164:H164"/>
    <mergeCell ref="C166:H166"/>
    <mergeCell ref="C143:F143"/>
    <mergeCell ref="C148:G148"/>
    <mergeCell ref="B153:K153"/>
    <mergeCell ref="C155:H155"/>
    <mergeCell ref="C156:H156"/>
    <mergeCell ref="C157:H157"/>
    <mergeCell ref="C128:D128"/>
    <mergeCell ref="B130:K130"/>
    <mergeCell ref="C132:G132"/>
    <mergeCell ref="C137:E137"/>
    <mergeCell ref="C139:E139"/>
    <mergeCell ref="C141:E141"/>
    <mergeCell ref="C122:D122"/>
    <mergeCell ref="C123:D123"/>
    <mergeCell ref="C124:D124"/>
    <mergeCell ref="C125:D125"/>
    <mergeCell ref="C126:D126"/>
    <mergeCell ref="C127:D127"/>
    <mergeCell ref="C120:D120"/>
    <mergeCell ref="E120:F120"/>
    <mergeCell ref="G120:H120"/>
    <mergeCell ref="I120:J120"/>
    <mergeCell ref="C121:D121"/>
    <mergeCell ref="E121:F121"/>
    <mergeCell ref="G121:H121"/>
    <mergeCell ref="I121:J121"/>
    <mergeCell ref="C103:D103"/>
    <mergeCell ref="C104:D104"/>
    <mergeCell ref="C105:D105"/>
    <mergeCell ref="C106:D106"/>
    <mergeCell ref="C107:D107"/>
    <mergeCell ref="B109:K109"/>
    <mergeCell ref="C100:D100"/>
    <mergeCell ref="E100:F100"/>
    <mergeCell ref="G100:H100"/>
    <mergeCell ref="I100:J100"/>
    <mergeCell ref="C101:D101"/>
    <mergeCell ref="C102:D102"/>
    <mergeCell ref="B68:K68"/>
    <mergeCell ref="C86:E86"/>
    <mergeCell ref="B88:K88"/>
    <mergeCell ref="C99:D99"/>
    <mergeCell ref="E99:F99"/>
    <mergeCell ref="G99:H99"/>
    <mergeCell ref="I99:J99"/>
    <mergeCell ref="C64:D64"/>
    <mergeCell ref="G64:H64"/>
    <mergeCell ref="C65:D65"/>
    <mergeCell ref="G65:H65"/>
    <mergeCell ref="C66:D66"/>
    <mergeCell ref="G66:H66"/>
    <mergeCell ref="C59:D59"/>
    <mergeCell ref="C60:D60"/>
    <mergeCell ref="G60:I60"/>
    <mergeCell ref="C62:E62"/>
    <mergeCell ref="G62:I62"/>
    <mergeCell ref="C63:D63"/>
    <mergeCell ref="G63:H63"/>
    <mergeCell ref="B54:K54"/>
    <mergeCell ref="C56:E56"/>
    <mergeCell ref="G56:I56"/>
    <mergeCell ref="C57:D57"/>
    <mergeCell ref="G57:H57"/>
    <mergeCell ref="C58:D58"/>
    <mergeCell ref="G58:H58"/>
    <mergeCell ref="B39:K39"/>
    <mergeCell ref="C41:D41"/>
    <mergeCell ref="B46:K46"/>
    <mergeCell ref="D48:D49"/>
    <mergeCell ref="E48:F48"/>
    <mergeCell ref="G48:H48"/>
    <mergeCell ref="F31:H31"/>
    <mergeCell ref="F32:H32"/>
    <mergeCell ref="F33:I33"/>
    <mergeCell ref="F34:H34"/>
    <mergeCell ref="F35:H35"/>
    <mergeCell ref="F36:H36"/>
    <mergeCell ref="F25:H25"/>
    <mergeCell ref="F26:I26"/>
    <mergeCell ref="F27:H27"/>
    <mergeCell ref="F28:H28"/>
    <mergeCell ref="F29:I29"/>
    <mergeCell ref="F30:H30"/>
    <mergeCell ref="F21:H21"/>
    <mergeCell ref="F22:I22"/>
    <mergeCell ref="C23:D24"/>
    <mergeCell ref="F23:H23"/>
    <mergeCell ref="F24:H24"/>
    <mergeCell ref="F13:H13"/>
    <mergeCell ref="F15:I15"/>
    <mergeCell ref="F16:H16"/>
    <mergeCell ref="C17:D18"/>
    <mergeCell ref="F17:I17"/>
    <mergeCell ref="F18:H18"/>
    <mergeCell ref="B3:K3"/>
    <mergeCell ref="B5:K5"/>
    <mergeCell ref="B6:K6"/>
    <mergeCell ref="B7:K7"/>
    <mergeCell ref="B9:K9"/>
    <mergeCell ref="C11:D11"/>
    <mergeCell ref="F11:H11"/>
    <mergeCell ref="F19:H19"/>
    <mergeCell ref="F20:H20"/>
  </mergeCells>
  <dataValidations count="36">
    <dataValidation type="whole" allowBlank="1" showInputMessage="1" showErrorMessage="1" errorTitle="Level IV staff" error="The amount specified must be within the permitted range: 30,050-42,075." sqref="E60" xr:uid="{ECE21F4B-4596-0D43-89FC-669BE2EA4B8A}">
      <formula1>30050</formula1>
      <formula2>42075</formula2>
    </dataValidation>
    <dataValidation type="whole" allowBlank="1" showInputMessage="1" showErrorMessage="1" errorTitle="Level I staff" error="The amount specified must be within the permitted range: 108,000-150,000." sqref="E57" xr:uid="{C8F6896C-59B9-2747-85E7-A5FFA583BD17}">
      <formula1>108000</formula1>
      <formula2>150000</formula2>
    </dataValidation>
    <dataValidation type="whole" allowBlank="1" showInputMessage="1" showErrorMessage="1" errorTitle="Level III staff" error="The amount specified must be within the permitted range: 51,100-72,124." sqref="E59" xr:uid="{978EBB70-602A-524E-8ADE-FF6E0C40BFE7}">
      <formula1>51100</formula1>
      <formula2>72124</formula2>
    </dataValidation>
    <dataValidation type="whole" allowBlank="1" showInputMessage="1" showErrorMessage="1" errorTitle="Level II staff" error="The amount specified must be within the permitted range: 72,124-99,170." sqref="E58" xr:uid="{D6B21C2B-4242-7443-8F1F-994E3519097D}">
      <formula1>72124</formula1>
      <formula2>99170</formula2>
    </dataValidation>
    <dataValidation type="list" allowBlank="1" showInputMessage="1" showErrorMessage="1" sqref="I166:I167" xr:uid="{C0F81171-39DE-E549-B3F3-7C13E0CDBADC}">
      <formula1>"0,60,90,120"</formula1>
    </dataValidation>
    <dataValidation type="list" allowBlank="1" showInputMessage="1" showErrorMessage="1" errorTitle="Production shifts" error="The specified value must be within the permitted range: 1-3." sqref="F137" xr:uid="{6101F354-EF62-B740-9909-0C2D62F8D768}">
      <formula1>"1,2,3"</formula1>
    </dataValidation>
    <dataValidation type="whole" allowBlank="1" showInputMessage="1" showErrorMessage="1" errorTitle="Equipos humanos destinados a SME" error="El número máximo es de 16." sqref="G150" xr:uid="{AAF14FA3-3808-034F-95E3-3491207C6830}">
      <formula1>0</formula1>
      <formula2>16</formula2>
    </dataValidation>
    <dataValidation type="whole" allowBlank="1" showInputMessage="1" showErrorMessage="1" errorTitle="Specialist" error="The amount specified must be within the permitted range: 21,000-29,450." sqref="I58" xr:uid="{A25F8D47-9876-2F4F-B120-167BB75232E8}">
      <formula1>21000</formula1>
      <formula2>29450</formula2>
    </dataValidation>
    <dataValidation type="whole" allowBlank="1" showInputMessage="1" showErrorMessage="1" errorTitle="Operator" error="The amount specified must be within the permitted range: 12,000-16,830." sqref="I57" xr:uid="{E750F2A4-F073-7B4B-9B3C-C9298F96BE9D}">
      <formula1>12000</formula1>
      <formula2>16830</formula2>
    </dataValidation>
    <dataValidation type="whole" allowBlank="1" showInputMessage="1" showErrorMessage="1" errorTitle="Inserciones publicitarias" error="El valor debe ser entre 0 y 999._x000a_" sqref="E150 F134:F135" xr:uid="{B8968374-DD3D-084E-A69B-8FF02CF885F2}">
      <formula1>0</formula1>
      <formula2>999</formula2>
    </dataValidation>
    <dataValidation type="list" allowBlank="1" showInputMessage="1" showErrorMessage="1" sqref="D52" xr:uid="{0529A247-38B6-A640-9A4A-5780032291A3}">
      <formula1>"12,24,36,48,60,72"</formula1>
    </dataValidation>
    <dataValidation type="list" allowBlank="1" showInputMessage="1" showErrorMessage="1" sqref="D50:D51" xr:uid="{6A97B2C4-6631-A14D-B58E-83202A937459}">
      <formula1>"6,12,18,24,30,36"</formula1>
    </dataValidation>
    <dataValidation type="whole" allowBlank="1" showInputMessage="1" showErrorMessage="1" errorTitle="Branch offices" error="The amount specified must be within the permitted range: 0-12." sqref="D44" xr:uid="{B7F185CA-1620-5A4D-9846-165A44A90E0C}">
      <formula1>0</formula1>
      <formula2>12</formula2>
    </dataValidation>
    <dataValidation type="whole" allowBlank="1" showInputMessage="1" showErrorMessage="1" errorTitle="Branch offices" error="The amount specified must be within the permitted range: 0-6." sqref="D42:D43" xr:uid="{ECA67BFE-78AC-CD47-8950-8B00514E2AE9}">
      <formula1>0</formula1>
      <formula2>6</formula2>
    </dataValidation>
    <dataValidation type="whole" allowBlank="1" showInputMessage="1" showErrorMessage="1" errorTitle="Number of vehicles" error="The amount specified must be within the permitted range: 1-999." sqref="H50:H52" xr:uid="{D10859F1-4F70-A540-A3BC-186CF638F0B8}">
      <formula1>1</formula1>
      <formula2>999</formula2>
    </dataValidation>
    <dataValidation type="whole" allowBlank="1" showInputMessage="1" showErrorMessage="1" errorTitle="Sales reps" error="The amount specified must be within the permitted range: 0-15." sqref="E63:E66" xr:uid="{57558DE9-A5B8-F946-BEC6-17DA53D64381}">
      <formula1>0</formula1>
      <formula2>15</formula2>
    </dataValidation>
    <dataValidation type="decimal" allowBlank="1" showInputMessage="1" showErrorMessage="1" errorTitle="Salesforce variable salary" error="The amount specified must be within the permitted range: 0.6-1.2." sqref="I64 I66" xr:uid="{0E026A07-6F68-944A-8FB5-B1B06D3D4A05}">
      <formula1>0.6</formula1>
      <formula2>1.2</formula2>
    </dataValidation>
    <dataValidation type="whole" allowBlank="1" showInputMessage="1" showErrorMessage="1" errorTitle="Salesforce fixed salary" error="The amount specified must be within the permitted range: 21,000-42,000." sqref="I63 I65" xr:uid="{1DC2E64D-FF56-6A40-A01A-41D270770010}">
      <formula1>21000</formula1>
      <formula2>42000</formula2>
    </dataValidation>
    <dataValidation type="list" allowBlank="1" showInputMessage="1" showErrorMessage="1" sqref="J60 F139 F141 I163 E171:E173" xr:uid="{E1B39B8B-8B2D-8B4C-B9DD-EB54C6F86B93}">
      <formula1>"Yes,No"</formula1>
    </dataValidation>
    <dataValidation type="whole" allowBlank="1" showInputMessage="1" showErrorMessage="1" errorTitle="POP Advertising" error="The amount specified must be within the permitted range: 0-500,000." sqref="J91:J97 J112:J118" xr:uid="{7ABFC383-0EF4-A545-95FF-ACD1AB37D61A}">
      <formula1>0</formula1>
      <formula2>500000</formula2>
    </dataValidation>
    <dataValidation type="whole" allowBlank="1" showInputMessage="1" showErrorMessage="1" errorTitle="Shelf space" error="The amount specified must be within the permitted range: 0-100." sqref="F91:F97 F112:F118" xr:uid="{F981B86B-5CF4-994C-BE0E-209D21840557}">
      <formula1>0</formula1>
      <formula2>100</formula2>
    </dataValidation>
    <dataValidation type="whole" allowBlank="1" showInputMessage="1" showErrorMessage="1" errorTitle="Advertising campaign" error="The campaign specified must be within the permitted range: 1-20." sqref="E100:J100 E121:J121" xr:uid="{E1BB8FA6-C196-B24A-9AAF-053ECCD12E86}">
      <formula1>1</formula1>
      <formula2>20</formula2>
    </dataValidation>
    <dataValidation type="whole" allowBlank="1" showInputMessage="1" showErrorMessage="1" errorTitle="Number of ads" error="The amount specified must be within the permitted range: 0-999." sqref="E102:E106 G102:G106 I102:I106 E123:E127 G123:G127 I123:I127" xr:uid="{DC48BE1D-1519-954F-8E24-60BA3B3CA6E2}">
      <formula1>0</formula1>
      <formula2>999</formula2>
    </dataValidation>
    <dataValidation type="whole" allowBlank="1" showInputMessage="1" showErrorMessage="1" errorTitle="Production lines" error="The maximum number of lines, including both L and T, is 32." sqref="E134:E135" xr:uid="{D6F4C1C8-ABD7-BE45-BE5F-C48E340A3333}">
      <formula1>0</formula1>
      <formula2>32</formula2>
    </dataValidation>
    <dataValidation type="list" allowBlank="1" showInputMessage="1" showErrorMessage="1" sqref="F226:H226" xr:uid="{EC545C2F-6B1A-0F46-9D67-31E4ECBB7B89}">
      <formula1>"No / No,No / Yes,Yes / No,Yes / Yes"</formula1>
    </dataValidation>
    <dataValidation type="custom" allowBlank="1" showInputMessage="1" showErrorMessage="1" errorTitle="L Margin" error="Dumping is not allowed. The amount specified is not within the permitted range." sqref="E91:E97" xr:uid="{0A546712-B580-8B4E-8112-94BBB7347139}">
      <formula1>D91-E91&gt;0.61</formula1>
    </dataValidation>
    <dataValidation type="custom" allowBlank="1" showInputMessage="1" showErrorMessage="1" errorTitle="T Margin" error="Dumping is not allowed. The amount specified is not within the permitted range." sqref="E112:E118" xr:uid="{16589B76-20D8-654F-8B78-8682668DEB24}">
      <formula1>D112-E112&gt;1.05</formula1>
    </dataValidation>
    <dataValidation type="whole" allowBlank="1" showInputMessage="1" showErrorMessage="1" errorTitle="Number of vehicles" error="The amount specified must be within the permitted range: 1-480." sqref="F50:F52" xr:uid="{E1C46640-3140-DB48-BA78-5407DE75C9A0}">
      <formula1>1</formula1>
      <formula2>480</formula2>
    </dataValidation>
    <dataValidation type="whole" allowBlank="1" showInputMessage="1" showErrorMessage="1" errorTitle="Load capacity" error="The amount specified must be within the permitted range: 1,000-24,000." sqref="E50:E52" xr:uid="{1AF6BBEF-AE1E-664D-922A-3ED692D93107}">
      <formula1>1000</formula1>
      <formula2>24000</formula2>
    </dataValidation>
    <dataValidation type="list" operator="equal" allowBlank="1" showErrorMessage="1" sqref="H91:H97 H112:H118" xr:uid="{E111DA57-A005-A943-B38E-A864A5C4F36B}">
      <formula1>"None,Price reduction,3x2,Drawing,Discount next purchase,Direct prom. bonus,Toiletry bag,Towel,Pamela hat"</formula1>
    </dataValidation>
    <dataValidation type="list" allowBlank="1" showInputMessage="1" showErrorMessage="1" sqref="G91:G97 G112:G118" xr:uid="{4FFD4550-01C6-DB42-A926-5E65159ECE75}">
      <formula1>"0,1,2,3"</formula1>
    </dataValidation>
    <dataValidation type="list" allowBlank="1" showInputMessage="1" showErrorMessage="1" sqref="I161" xr:uid="{96471C7D-FBCD-7145-8A7C-041C74617FA9}">
      <formula1>"60,90,120"</formula1>
    </dataValidation>
    <dataValidation type="decimal" allowBlank="1" showInputMessage="1" showErrorMessage="1" errorTitle="L MSRP" error="The price must be 0, or within the permitted range: 2.48-30.00." sqref="D91:D97" xr:uid="{F0710BFC-DD1D-2046-A69A-B6C9F42B3919}">
      <formula1>2.48</formula1>
      <formula2>30</formula2>
    </dataValidation>
    <dataValidation type="decimal" allowBlank="1" showInputMessage="1" showErrorMessage="1" errorTitle="H MSRP" error="The price must be 0, or within the permitted range: 1.57-20.00." sqref="D112:D118" xr:uid="{305DD70C-8C98-754A-8A22-4C19C4E3E8A6}">
      <formula1>1.05</formula1>
      <formula2>4.5</formula2>
    </dataValidation>
    <dataValidation type="whole" allowBlank="1" showInputMessage="1" showErrorMessage="1" errorTitle="Load capacity" error="The amount specified must be within the permitted range: 500-10,000." sqref="G50:G52" xr:uid="{F0AE621B-95DF-FE4E-9F03-F901D98943A3}">
      <formula1>500</formula1>
      <formula2>10000</formula2>
    </dataValidation>
    <dataValidation type="list" allowBlank="1" showInputMessage="1" showErrorMessage="1" sqref="I71:I84 E71:E84" xr:uid="{71BAF1CA-A4DE-B14B-BB1A-CE9A936C9FE4}">
      <formula1>"Yes, No"</formula1>
    </dataValidation>
  </dataValidations>
  <pageMargins left="0.24583333333333332" right="0.44513888888888886" top="0.27152777777777776" bottom="0.6513888888888888" header="0.51180555555555551" footer="0.41388888888888886"/>
  <pageSetup paperSize="9" scale="73" fitToHeight="3" orientation="portrait" useFirstPageNumber="1" horizontalDpi="300" verticalDpi="300"/>
  <headerFooter alignWithMargins="0">
    <oddFooter>&amp;C&amp;P</oddFooter>
  </headerFooter>
  <rowBreaks count="4" manualBreakCount="4">
    <brk id="87" max="16383" man="1"/>
    <brk id="176" max="16383" man="1"/>
    <brk id="239" max="16383" man="1"/>
    <brk id="30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MMT39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Praxis MMT</dc:creator>
  <cp:lastModifiedBy>Praxis MMT</cp:lastModifiedBy>
  <cp:lastPrinted>2018-08-20T11:36:16Z</cp:lastPrinted>
  <dcterms:created xsi:type="dcterms:W3CDTF">2018-07-25T15:38:27Z</dcterms:created>
  <dcterms:modified xsi:type="dcterms:W3CDTF">2026-08-25T13:29:27Z</dcterms:modified>
</cp:coreProperties>
</file>